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"/>
    </mc:Choice>
  </mc:AlternateContent>
  <bookViews>
    <workbookView xWindow="-120" yWindow="-120" windowWidth="29040" windowHeight="15720" activeTab="2"/>
  </bookViews>
  <sheets>
    <sheet name="ĐỘ LẶP" sheetId="1" r:id="rId1"/>
    <sheet name="ĐỘ TÁI LẶP" sheetId="2" r:id="rId2"/>
    <sheet name="ĐỘ ĐÚ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3" l="1"/>
  <c r="D39" i="3"/>
  <c r="E39" i="3"/>
  <c r="E38" i="3"/>
  <c r="E40" i="3" s="1"/>
  <c r="E42" i="3" s="1"/>
  <c r="D38" i="3"/>
  <c r="D40" i="3" s="1"/>
  <c r="C38" i="3"/>
  <c r="C40" i="3" s="1"/>
  <c r="C42" i="3" s="1"/>
  <c r="B39" i="3"/>
  <c r="B38" i="3"/>
  <c r="B40" i="3" s="1"/>
  <c r="B42" i="3" s="1"/>
  <c r="D42" i="3" l="1"/>
  <c r="E39" i="2"/>
  <c r="D39" i="2"/>
  <c r="C39" i="2"/>
  <c r="C40" i="2" s="1"/>
  <c r="C42" i="2" s="1"/>
  <c r="B39" i="2"/>
  <c r="B40" i="2" s="1"/>
  <c r="B42" i="2" s="1"/>
  <c r="E38" i="2"/>
  <c r="D38" i="2"/>
  <c r="C38" i="2"/>
  <c r="B38" i="2"/>
  <c r="E29" i="1"/>
  <c r="E30" i="1" s="1"/>
  <c r="E32" i="1" s="1"/>
  <c r="D29" i="1"/>
  <c r="D30" i="1" s="1"/>
  <c r="D32" i="1" s="1"/>
  <c r="C29" i="1"/>
  <c r="C30" i="1" s="1"/>
  <c r="C32" i="1" s="1"/>
  <c r="B29" i="1"/>
  <c r="E28" i="1"/>
  <c r="D28" i="1"/>
  <c r="C28" i="1"/>
  <c r="B28" i="1"/>
  <c r="D40" i="2" l="1"/>
  <c r="D42" i="2" s="1"/>
  <c r="B30" i="1"/>
  <c r="B32" i="1" s="1"/>
  <c r="E40" i="2"/>
  <c r="E42" i="2" s="1"/>
</calcChain>
</file>

<file path=xl/sharedStrings.xml><?xml version="1.0" encoding="utf-8"?>
<sst xmlns="http://schemas.openxmlformats.org/spreadsheetml/2006/main" count="127" uniqueCount="47">
  <si>
    <t>CỘNG HÒA XÃ HỘI CHỦ NGHĨA VIỆT NAM</t>
  </si>
  <si>
    <t>BỆNH VIỆN PHONG - DA LIỄU TRUNG ƯƠNG QUY HÒA</t>
  </si>
  <si>
    <t>Độc lập - Tự do - Hạnh Phúc</t>
  </si>
  <si>
    <t>KHOA VI SINH - MIỄN DỊCH</t>
  </si>
  <si>
    <t>PHIẾU ĐÁNH GIÁ ĐỘ CHỤM NGẮN HẠN (ĐỘ LẶP LẠI)</t>
  </si>
  <si>
    <t>TÊN XÉT NGHIỆM: T3, FT4</t>
  </si>
  <si>
    <t xml:space="preserve">Thiết bị: </t>
  </si>
  <si>
    <t>IFLASH 9000</t>
  </si>
  <si>
    <t>Bệnh phẩm phân tích:</t>
  </si>
  <si>
    <t>Mẫu QC mức 1,2</t>
  </si>
  <si>
    <t>Phương pháp:</t>
  </si>
  <si>
    <t xml:space="preserve">Vật liệu sử dụng: </t>
  </si>
  <si>
    <t>IFlash T3/FT4</t>
  </si>
  <si>
    <t>Thời gian phân tích:</t>
  </si>
  <si>
    <t>16/12/2025</t>
  </si>
  <si>
    <t xml:space="preserve">Nhân viên thực hiện: </t>
  </si>
  <si>
    <t>Nguyễn Gia Khang</t>
  </si>
  <si>
    <t>STT</t>
  </si>
  <si>
    <t>T3 (ng/mL)</t>
  </si>
  <si>
    <t>FT4  (pg/mL)</t>
  </si>
  <si>
    <t>GHI CHÚ</t>
  </si>
  <si>
    <t xml:space="preserve">Mean:1,14 SD:0,11 </t>
  </si>
  <si>
    <t>Mean:12,5 SD:1,16</t>
  </si>
  <si>
    <t>Mean:31,77 SD:2,95</t>
  </si>
  <si>
    <t>Level 1</t>
  </si>
  <si>
    <t>Level 2</t>
  </si>
  <si>
    <t>Mean</t>
  </si>
  <si>
    <t>SD</t>
  </si>
  <si>
    <t>%CV thực nghiệm</t>
  </si>
  <si>
    <t>%CV công bố NSX</t>
  </si>
  <si>
    <t>Kết luận</t>
  </si>
  <si>
    <t>Quản lý chất lượng</t>
  </si>
  <si>
    <t>Trưởng khoa</t>
  </si>
  <si>
    <t>PHIẾU ĐÁNH GIÁ ĐỘ CHỤM DÀI HẠN (ĐỘ LẶP LẠI)</t>
  </si>
  <si>
    <t>Ngày thực hiện</t>
  </si>
  <si>
    <t>Mean:3,38 SD:0,31</t>
  </si>
  <si>
    <r>
      <rPr>
        <i/>
        <sz val="12"/>
        <color theme="1"/>
        <rFont val="Times New Roman"/>
        <family val="1"/>
      </rPr>
      <t>Gia lai</t>
    </r>
    <r>
      <rPr>
        <sz val="12"/>
        <color theme="1"/>
        <rFont val="Times New Roman"/>
        <family val="1"/>
        <charset val="163"/>
      </rPr>
      <t>, ngày 16 tháng 12 năm 2025</t>
    </r>
  </si>
  <si>
    <t>Ths. Nguyễn Thị Bình</t>
  </si>
  <si>
    <t>%BIAS thực nghiệm</t>
  </si>
  <si>
    <t>Nguồn tham khảo https://westgard.com/clia-a-quality/quality-requirements/biodatabase1.html</t>
  </si>
  <si>
    <t>%TEa (CLIA)</t>
  </si>
  <si>
    <t>ĐẠT</t>
  </si>
  <si>
    <t>Nhân viên thực hiện</t>
  </si>
  <si>
    <t>Miễn dịch Competitive</t>
  </si>
  <si>
    <t>CNXN. Nguyễn Gia Khang</t>
  </si>
  <si>
    <t>CNXN. Nguyễn Thái Hòa</t>
  </si>
  <si>
    <t xml:space="preserve">                           KHOA VI SINH - MIỄN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</si>
</sst>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7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b/>
      <sz val="12"/>
      <color rgb="FFC00000"/>
      <name val="Times New Roman"/>
      <family val="1"/>
      <charset val="163"/>
    </font>
    <font>
      <sz val="9"/>
      <color theme="1"/>
      <name val="Times New Roman"/>
      <family val="1"/>
    </font>
    <font>
      <b/>
      <sz val="11"/>
      <color theme="1"/>
      <name val="Times New Roman"/>
      <family val="1"/>
      <charset val="163"/>
    </font>
    <font>
      <b/>
      <i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b/>
      <sz val="11"/>
      <color rgb="FFC00000"/>
      <name val="Times New Roman"/>
      <family val="1"/>
      <charset val="163"/>
    </font>
    <font>
      <i/>
      <sz val="12"/>
      <color theme="1"/>
      <name val="Times New Roman"/>
      <family val="1"/>
    </font>
    <font>
      <b/>
      <i/>
      <sz val="13"/>
      <color theme="1"/>
      <name val="Times New Roman"/>
      <family val="1"/>
      <charset val="163"/>
    </font>
    <font>
      <b/>
      <sz val="13"/>
      <color rgb="FFC00000"/>
      <name val="Times New Roman"/>
      <family val="1"/>
      <charset val="163"/>
    </font>
    <font>
      <u/>
      <sz val="11"/>
      <color theme="10"/>
      <name val="Aptos Narrow"/>
      <family val="2"/>
      <scheme val="minor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113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/>
    <xf numFmtId="0" fontId="11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2" fontId="11" fillId="2" borderId="6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/>
    <xf numFmtId="0" fontId="10" fillId="0" borderId="0" xfId="0" applyFont="1" applyAlignment="1">
      <alignment vertical="center"/>
    </xf>
    <xf numFmtId="14" fontId="18" fillId="0" borderId="0" xfId="0" applyNumberFormat="1" applyFont="1" applyAlignment="1">
      <alignment horizontal="left"/>
    </xf>
    <xf numFmtId="0" fontId="19" fillId="2" borderId="6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0" fontId="0" fillId="0" borderId="6" xfId="0" applyBorder="1"/>
    <xf numFmtId="0" fontId="24" fillId="2" borderId="6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2" fontId="16" fillId="2" borderId="6" xfId="0" applyNumberFormat="1" applyFont="1" applyFill="1" applyBorder="1" applyAlignment="1">
      <alignment horizontal="center"/>
    </xf>
    <xf numFmtId="2" fontId="18" fillId="2" borderId="6" xfId="0" applyNumberFormat="1" applyFont="1" applyFill="1" applyBorder="1" applyAlignment="1">
      <alignment horizontal="center"/>
    </xf>
    <xf numFmtId="2" fontId="18" fillId="0" borderId="6" xfId="0" applyNumberFormat="1" applyFont="1" applyBorder="1" applyAlignment="1">
      <alignment horizontal="center"/>
    </xf>
    <xf numFmtId="2" fontId="9" fillId="2" borderId="6" xfId="0" applyNumberFormat="1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2" fontId="12" fillId="2" borderId="6" xfId="0" applyNumberFormat="1" applyFont="1" applyFill="1" applyBorder="1" applyAlignment="1">
      <alignment horizontal="center"/>
    </xf>
    <xf numFmtId="2" fontId="13" fillId="2" borderId="6" xfId="0" applyNumberFormat="1" applyFont="1" applyFill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165" fontId="24" fillId="2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4" fontId="12" fillId="0" borderId="0" xfId="0" applyNumberFormat="1" applyFont="1"/>
    <xf numFmtId="0" fontId="13" fillId="0" borderId="0" xfId="0" applyFont="1"/>
    <xf numFmtId="0" fontId="12" fillId="0" borderId="0" xfId="0" applyFont="1"/>
    <xf numFmtId="0" fontId="3" fillId="0" borderId="0" xfId="0" applyFont="1"/>
    <xf numFmtId="0" fontId="1" fillId="0" borderId="0" xfId="0" applyFont="1"/>
    <xf numFmtId="0" fontId="26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1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18" fillId="2" borderId="6" xfId="0" applyNumberFormat="1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6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0" fontId="25" fillId="0" borderId="8" xfId="1" applyBorder="1" applyAlignment="1">
      <alignment horizontal="left"/>
    </xf>
    <xf numFmtId="0" fontId="9" fillId="2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2</xdr:row>
      <xdr:rowOff>9525</xdr:rowOff>
    </xdr:from>
    <xdr:to>
      <xdr:col>5</xdr:col>
      <xdr:colOff>1114425</xdr:colOff>
      <xdr:row>2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DA517EA-D37D-492F-B26D-483AF65E0854}"/>
            </a:ext>
          </a:extLst>
        </xdr:cNvPr>
        <xdr:cNvCxnSpPr/>
      </xdr:nvCxnSpPr>
      <xdr:spPr>
        <a:xfrm>
          <a:off x="4743450" y="390525"/>
          <a:ext cx="1143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962025</xdr:colOff>
      <xdr:row>2</xdr:row>
      <xdr:rowOff>9525</xdr:rowOff>
    </xdr:from>
    <xdr:to>
      <xdr:col>1</xdr:col>
      <xdr:colOff>304800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8930CC0-F917-4DAA-A759-289601CA7F74}"/>
            </a:ext>
          </a:extLst>
        </xdr:cNvPr>
        <xdr:cNvCxnSpPr/>
      </xdr:nvCxnSpPr>
      <xdr:spPr>
        <a:xfrm>
          <a:off x="962025" y="390525"/>
          <a:ext cx="106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847725</xdr:colOff>
      <xdr:row>2</xdr:row>
      <xdr:rowOff>9525</xdr:rowOff>
    </xdr:from>
    <xdr:to>
      <xdr:col>5</xdr:col>
      <xdr:colOff>847725</xdr:colOff>
      <xdr:row>2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66867D8-7F6D-4E1D-92EC-076E32E5E7C6}"/>
            </a:ext>
          </a:extLst>
        </xdr:cNvPr>
        <xdr:cNvCxnSpPr/>
      </xdr:nvCxnSpPr>
      <xdr:spPr>
        <a:xfrm>
          <a:off x="5324475" y="390525"/>
          <a:ext cx="1085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952500</xdr:colOff>
      <xdr:row>2</xdr:row>
      <xdr:rowOff>19050</xdr:rowOff>
    </xdr:from>
    <xdr:to>
      <xdr:col>1</xdr:col>
      <xdr:colOff>400050</xdr:colOff>
      <xdr:row>2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52778C7-CCA6-4FC1-861B-97B01C046F65}"/>
            </a:ext>
          </a:extLst>
        </xdr:cNvPr>
        <xdr:cNvCxnSpPr/>
      </xdr:nvCxnSpPr>
      <xdr:spPr>
        <a:xfrm>
          <a:off x="952500" y="400050"/>
          <a:ext cx="1171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9525</xdr:rowOff>
    </xdr:from>
    <xdr:to>
      <xdr:col>4</xdr:col>
      <xdr:colOff>1085850</xdr:colOff>
      <xdr:row>2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870108F-1498-45E3-B195-2B2323B5FFC2}"/>
            </a:ext>
          </a:extLst>
        </xdr:cNvPr>
        <xdr:cNvCxnSpPr/>
      </xdr:nvCxnSpPr>
      <xdr:spPr>
        <a:xfrm>
          <a:off x="5534025" y="390525"/>
          <a:ext cx="933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828675</xdr:colOff>
      <xdr:row>2</xdr:row>
      <xdr:rowOff>19050</xdr:rowOff>
    </xdr:from>
    <xdr:to>
      <xdr:col>1</xdr:col>
      <xdr:colOff>361950</xdr:colOff>
      <xdr:row>2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3AD324-11A9-48AC-AD49-AB06C7A065AF}"/>
            </a:ext>
          </a:extLst>
        </xdr:cNvPr>
        <xdr:cNvCxnSpPr/>
      </xdr:nvCxnSpPr>
      <xdr:spPr>
        <a:xfrm>
          <a:off x="828675" y="400050"/>
          <a:ext cx="125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estgard.com/clia-a-quality/quality-requirements/biodatabase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workbookViewId="0">
      <selection activeCell="K9" sqref="K9"/>
    </sheetView>
  </sheetViews>
  <sheetFormatPr defaultRowHeight="14.25"/>
  <cols>
    <col min="1" max="1" width="25.875" bestFit="1" customWidth="1"/>
    <col min="2" max="2" width="11.375" bestFit="1" customWidth="1"/>
    <col min="3" max="3" width="15.125" customWidth="1"/>
    <col min="4" max="4" width="11.375" customWidth="1"/>
    <col min="5" max="5" width="12.75" customWidth="1"/>
    <col min="6" max="6" width="19.375" customWidth="1"/>
  </cols>
  <sheetData>
    <row r="1" spans="1:7">
      <c r="A1" s="84" t="s">
        <v>1</v>
      </c>
      <c r="B1" s="84"/>
      <c r="C1" s="84"/>
      <c r="D1" s="65"/>
      <c r="E1" s="86" t="s">
        <v>0</v>
      </c>
      <c r="F1" s="86"/>
      <c r="G1" s="86"/>
    </row>
    <row r="2" spans="1:7">
      <c r="A2" s="85" t="s">
        <v>46</v>
      </c>
      <c r="B2" s="85"/>
      <c r="C2" s="85"/>
      <c r="D2" s="64"/>
      <c r="E2" s="86" t="s">
        <v>2</v>
      </c>
      <c r="F2" s="86"/>
      <c r="G2" s="86"/>
    </row>
    <row r="5" spans="1:7" ht="15.75">
      <c r="A5" s="87" t="s">
        <v>4</v>
      </c>
      <c r="B5" s="87"/>
      <c r="C5" s="87"/>
      <c r="D5" s="87"/>
      <c r="E5" s="87"/>
      <c r="F5" s="87"/>
      <c r="G5" s="87"/>
    </row>
    <row r="6" spans="1:7" ht="15.75">
      <c r="A6" s="83" t="s">
        <v>5</v>
      </c>
      <c r="B6" s="83"/>
      <c r="C6" s="83"/>
      <c r="D6" s="83"/>
      <c r="E6" s="83"/>
      <c r="F6" s="83"/>
      <c r="G6" s="83"/>
    </row>
    <row r="7" spans="1:7" ht="15">
      <c r="A7" s="1"/>
      <c r="B7" s="1"/>
      <c r="C7" s="1"/>
      <c r="D7" s="1"/>
      <c r="E7" s="1"/>
    </row>
    <row r="8" spans="1:7" ht="15">
      <c r="A8" s="2" t="s">
        <v>6</v>
      </c>
      <c r="B8" s="3" t="s">
        <v>7</v>
      </c>
      <c r="C8" s="4"/>
      <c r="D8" s="4"/>
      <c r="E8" s="4"/>
    </row>
    <row r="9" spans="1:7" ht="15">
      <c r="A9" s="2" t="s">
        <v>8</v>
      </c>
      <c r="B9" s="4" t="s">
        <v>9</v>
      </c>
      <c r="C9" s="4"/>
      <c r="D9" s="2"/>
      <c r="E9" s="5"/>
    </row>
    <row r="10" spans="1:7" ht="15">
      <c r="A10" s="2" t="s">
        <v>10</v>
      </c>
      <c r="B10" s="4" t="s">
        <v>43</v>
      </c>
      <c r="C10" s="4"/>
      <c r="D10" s="4"/>
      <c r="E10" s="4"/>
    </row>
    <row r="11" spans="1:7" ht="15">
      <c r="A11" s="2" t="s">
        <v>11</v>
      </c>
      <c r="B11" s="68" t="s">
        <v>12</v>
      </c>
      <c r="C11" s="68"/>
      <c r="D11" s="4"/>
      <c r="E11" s="4"/>
    </row>
    <row r="12" spans="1:7" ht="15">
      <c r="A12" s="2" t="s">
        <v>13</v>
      </c>
      <c r="B12" s="6" t="s">
        <v>14</v>
      </c>
      <c r="C12" s="4"/>
      <c r="D12" s="4"/>
      <c r="E12" s="4"/>
    </row>
    <row r="13" spans="1:7" ht="15">
      <c r="A13" s="2" t="s">
        <v>15</v>
      </c>
      <c r="B13" s="5" t="s">
        <v>16</v>
      </c>
      <c r="C13" s="2"/>
      <c r="D13" s="2"/>
      <c r="E13" s="4"/>
    </row>
    <row r="14" spans="1:7" ht="16.5">
      <c r="A14" s="7"/>
      <c r="B14" s="8"/>
      <c r="C14" s="8"/>
      <c r="D14" s="7"/>
      <c r="E14" s="9"/>
    </row>
    <row r="15" spans="1:7" ht="15.75">
      <c r="A15" s="69" t="s">
        <v>17</v>
      </c>
      <c r="B15" s="72" t="s">
        <v>18</v>
      </c>
      <c r="C15" s="73"/>
      <c r="D15" s="74" t="s">
        <v>19</v>
      </c>
      <c r="E15" s="75"/>
      <c r="F15" s="76" t="s">
        <v>20</v>
      </c>
    </row>
    <row r="16" spans="1:7" ht="31.5">
      <c r="A16" s="70"/>
      <c r="B16" s="10" t="s">
        <v>21</v>
      </c>
      <c r="C16" s="11" t="s">
        <v>35</v>
      </c>
      <c r="D16" s="10" t="s">
        <v>22</v>
      </c>
      <c r="E16" s="11" t="s">
        <v>23</v>
      </c>
      <c r="F16" s="77"/>
    </row>
    <row r="17" spans="1:6" ht="15.75">
      <c r="A17" s="71"/>
      <c r="B17" s="10" t="s">
        <v>24</v>
      </c>
      <c r="C17" s="12" t="s">
        <v>25</v>
      </c>
      <c r="D17" s="10" t="s">
        <v>24</v>
      </c>
      <c r="E17" s="13" t="s">
        <v>25</v>
      </c>
      <c r="F17" s="78"/>
    </row>
    <row r="18" spans="1:6" ht="15.75">
      <c r="A18" s="14">
        <v>1</v>
      </c>
      <c r="B18" s="53">
        <v>1.1499999999999999</v>
      </c>
      <c r="C18" s="53">
        <v>3.15</v>
      </c>
      <c r="D18" s="54">
        <v>12.4</v>
      </c>
      <c r="E18" s="55">
        <v>30.81</v>
      </c>
      <c r="F18" s="15"/>
    </row>
    <row r="19" spans="1:6" ht="15.75">
      <c r="A19" s="14">
        <v>2</v>
      </c>
      <c r="B19" s="53">
        <v>1.1599999999999999</v>
      </c>
      <c r="C19" s="53">
        <v>3.13</v>
      </c>
      <c r="D19" s="54">
        <v>12.55</v>
      </c>
      <c r="E19" s="55">
        <v>31.06</v>
      </c>
      <c r="F19" s="15"/>
    </row>
    <row r="20" spans="1:6" ht="15.75">
      <c r="A20" s="14">
        <v>3</v>
      </c>
      <c r="B20" s="53">
        <v>1.17</v>
      </c>
      <c r="C20" s="53">
        <v>3.1</v>
      </c>
      <c r="D20" s="54">
        <v>12.5</v>
      </c>
      <c r="E20" s="55">
        <v>31.14</v>
      </c>
      <c r="F20" s="15"/>
    </row>
    <row r="21" spans="1:6" ht="15.75">
      <c r="A21" s="14">
        <v>4</v>
      </c>
      <c r="B21" s="53">
        <v>1.1399999999999999</v>
      </c>
      <c r="C21" s="53">
        <v>3.08</v>
      </c>
      <c r="D21" s="54">
        <v>12.45</v>
      </c>
      <c r="E21" s="55">
        <v>31.02</v>
      </c>
      <c r="F21" s="15"/>
    </row>
    <row r="22" spans="1:6" ht="15.75">
      <c r="A22" s="14">
        <v>5</v>
      </c>
      <c r="B22" s="53">
        <v>1.18</v>
      </c>
      <c r="C22" s="53">
        <v>3.1</v>
      </c>
      <c r="D22" s="54">
        <v>12.53</v>
      </c>
      <c r="E22" s="55">
        <v>30.73</v>
      </c>
      <c r="F22" s="15"/>
    </row>
    <row r="23" spans="1:6" ht="15.75">
      <c r="A23" s="14">
        <v>6</v>
      </c>
      <c r="B23" s="53">
        <v>1.18</v>
      </c>
      <c r="C23" s="53">
        <v>3.09</v>
      </c>
      <c r="D23" s="54">
        <v>12.45</v>
      </c>
      <c r="E23" s="55">
        <v>30.78</v>
      </c>
      <c r="F23" s="15"/>
    </row>
    <row r="24" spans="1:6" ht="15.75">
      <c r="A24" s="14">
        <v>7</v>
      </c>
      <c r="B24" s="53">
        <v>1.17</v>
      </c>
      <c r="C24" s="53">
        <v>3.05</v>
      </c>
      <c r="D24" s="54">
        <v>12.22</v>
      </c>
      <c r="E24" s="55">
        <v>30.61</v>
      </c>
      <c r="F24" s="15"/>
    </row>
    <row r="25" spans="1:6" ht="15.75">
      <c r="A25" s="14">
        <v>8</v>
      </c>
      <c r="B25" s="53">
        <v>1.18</v>
      </c>
      <c r="C25" s="53">
        <v>3.11</v>
      </c>
      <c r="D25" s="54">
        <v>12.59</v>
      </c>
      <c r="E25" s="55">
        <v>31.02</v>
      </c>
      <c r="F25" s="15"/>
    </row>
    <row r="26" spans="1:6" ht="15.75">
      <c r="A26" s="14">
        <v>9</v>
      </c>
      <c r="B26" s="53">
        <v>1.18</v>
      </c>
      <c r="C26" s="53">
        <v>3.13</v>
      </c>
      <c r="D26" s="54">
        <v>12.52</v>
      </c>
      <c r="E26" s="55">
        <v>30.81</v>
      </c>
      <c r="F26" s="15"/>
    </row>
    <row r="27" spans="1:6" ht="15.75">
      <c r="A27" s="14">
        <v>10</v>
      </c>
      <c r="B27" s="53">
        <v>1.1499999999999999</v>
      </c>
      <c r="C27" s="53">
        <v>3.11</v>
      </c>
      <c r="D27" s="54">
        <v>12.25</v>
      </c>
      <c r="E27" s="55">
        <v>30.31</v>
      </c>
      <c r="F27" s="15"/>
    </row>
    <row r="28" spans="1:6" ht="15.75">
      <c r="A28" s="14" t="s">
        <v>26</v>
      </c>
      <c r="B28" s="14">
        <f>AVERAGE(B18:B27)</f>
        <v>1.1659999999999999</v>
      </c>
      <c r="C28" s="14">
        <f t="shared" ref="C28:E28" si="0">AVERAGE(C18:C27)</f>
        <v>3.1049999999999995</v>
      </c>
      <c r="D28" s="14">
        <f t="shared" si="0"/>
        <v>12.446000000000002</v>
      </c>
      <c r="E28" s="14">
        <f t="shared" si="0"/>
        <v>30.828999999999997</v>
      </c>
      <c r="F28" s="15"/>
    </row>
    <row r="29" spans="1:6" ht="15.75">
      <c r="A29" s="14" t="s">
        <v>27</v>
      </c>
      <c r="B29" s="16">
        <f>STDEV(B18:B27)</f>
        <v>1.5055453054181635E-2</v>
      </c>
      <c r="C29" s="16">
        <f t="shared" ref="C29:E29" si="1">STDEV(C18:C27)</f>
        <v>2.838231060987733E-2</v>
      </c>
      <c r="D29" s="16">
        <f t="shared" si="1"/>
        <v>0.12411464234506901</v>
      </c>
      <c r="E29" s="16">
        <f t="shared" si="1"/>
        <v>0.24794488634909728</v>
      </c>
      <c r="F29" s="15"/>
    </row>
    <row r="30" spans="1:6" ht="15.75">
      <c r="A30" s="14" t="s">
        <v>28</v>
      </c>
      <c r="B30" s="16">
        <f>(B29/B28)*100</f>
        <v>1.2912052362076873</v>
      </c>
      <c r="C30" s="16">
        <f t="shared" ref="C30:E30" si="2">(C29/C28)*100</f>
        <v>0.91408407761279664</v>
      </c>
      <c r="D30" s="16">
        <f t="shared" si="2"/>
        <v>0.99722515141466328</v>
      </c>
      <c r="E30" s="16">
        <f t="shared" si="2"/>
        <v>0.80425860828796691</v>
      </c>
      <c r="F30" s="15"/>
    </row>
    <row r="31" spans="1:6" ht="15.75">
      <c r="A31" s="17" t="s">
        <v>29</v>
      </c>
      <c r="B31" s="17">
        <v>2.83</v>
      </c>
      <c r="C31" s="17">
        <v>2.69</v>
      </c>
      <c r="D31" s="17">
        <v>2.48</v>
      </c>
      <c r="E31" s="18">
        <v>3.18</v>
      </c>
      <c r="F31" s="15"/>
    </row>
    <row r="32" spans="1:6" ht="15.75">
      <c r="A32" s="17" t="s">
        <v>30</v>
      </c>
      <c r="B32" s="17" t="str">
        <f>IF(B30&lt;=B31,"ĐẠT","KHÔNG ĐẠT")</f>
        <v>ĐẠT</v>
      </c>
      <c r="C32" s="17" t="str">
        <f t="shared" ref="C32:E32" si="3">IF(C30&lt;=C31,"ĐẠT","KHÔNG ĐẠT")</f>
        <v>ĐẠT</v>
      </c>
      <c r="D32" s="17" t="str">
        <f t="shared" si="3"/>
        <v>ĐẠT</v>
      </c>
      <c r="E32" s="17" t="str">
        <f t="shared" si="3"/>
        <v>ĐẠT</v>
      </c>
      <c r="F32" s="15"/>
    </row>
    <row r="33" spans="1:7" ht="16.5">
      <c r="A33" s="19"/>
      <c r="B33" s="19"/>
      <c r="C33" s="19"/>
      <c r="D33" s="19"/>
      <c r="E33" s="19"/>
    </row>
    <row r="34" spans="1:7" ht="16.5">
      <c r="A34" s="19"/>
      <c r="B34" s="19"/>
      <c r="C34" s="19"/>
      <c r="D34" s="61"/>
      <c r="E34" s="79" t="s">
        <v>36</v>
      </c>
      <c r="F34" s="80"/>
      <c r="G34" s="80"/>
    </row>
    <row r="35" spans="1:7" ht="15.75">
      <c r="A35" s="58" t="s">
        <v>42</v>
      </c>
      <c r="B35" s="63"/>
      <c r="C35" s="82" t="s">
        <v>31</v>
      </c>
      <c r="D35" s="82"/>
      <c r="E35" s="82" t="s">
        <v>32</v>
      </c>
      <c r="F35" s="82"/>
      <c r="G35" s="82"/>
    </row>
    <row r="36" spans="1:7">
      <c r="A36" s="81"/>
      <c r="B36" s="81"/>
      <c r="C36" s="81"/>
      <c r="D36" s="81"/>
      <c r="E36" s="81"/>
      <c r="F36" s="81"/>
      <c r="G36" s="81"/>
    </row>
    <row r="37" spans="1:7">
      <c r="A37" s="81"/>
      <c r="B37" s="81"/>
      <c r="C37" s="81"/>
      <c r="D37" s="81"/>
      <c r="E37" s="81"/>
      <c r="F37" s="81"/>
      <c r="G37" s="81"/>
    </row>
    <row r="38" spans="1:7">
      <c r="A38" s="81"/>
      <c r="B38" s="81"/>
      <c r="C38" s="81"/>
      <c r="D38" s="81"/>
      <c r="E38" s="81"/>
      <c r="F38" s="81"/>
      <c r="G38" s="81"/>
    </row>
    <row r="39" spans="1:7">
      <c r="A39" s="81"/>
      <c r="B39" s="81"/>
      <c r="C39" s="81"/>
      <c r="D39" s="81"/>
      <c r="E39" s="81"/>
      <c r="F39" s="81"/>
      <c r="G39" s="81"/>
    </row>
    <row r="40" spans="1:7" ht="15.75">
      <c r="A40" s="58" t="s">
        <v>44</v>
      </c>
      <c r="B40" s="63"/>
      <c r="C40" s="67" t="s">
        <v>45</v>
      </c>
      <c r="D40" s="67"/>
      <c r="E40" s="67" t="s">
        <v>37</v>
      </c>
      <c r="F40" s="67"/>
      <c r="G40" s="67"/>
    </row>
  </sheetData>
  <mergeCells count="19">
    <mergeCell ref="A6:G6"/>
    <mergeCell ref="A1:C1"/>
    <mergeCell ref="A2:C2"/>
    <mergeCell ref="E1:G1"/>
    <mergeCell ref="E2:G2"/>
    <mergeCell ref="A5:G5"/>
    <mergeCell ref="C40:D40"/>
    <mergeCell ref="E40:G40"/>
    <mergeCell ref="B11:C11"/>
    <mergeCell ref="A15:A17"/>
    <mergeCell ref="B15:C15"/>
    <mergeCell ref="D15:E15"/>
    <mergeCell ref="F15:F17"/>
    <mergeCell ref="E34:G34"/>
    <mergeCell ref="A36:B39"/>
    <mergeCell ref="C35:D35"/>
    <mergeCell ref="E35:G35"/>
    <mergeCell ref="C36:D39"/>
    <mergeCell ref="E36:G39"/>
  </mergeCells>
  <pageMargins left="0.7" right="0.7" top="0.75" bottom="0.75" header="0.3" footer="0.3"/>
  <pageSetup scale="7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workbookViewId="0">
      <selection activeCell="F11" sqref="F11"/>
    </sheetView>
  </sheetViews>
  <sheetFormatPr defaultRowHeight="14.25"/>
  <cols>
    <col min="1" max="1" width="25.875" bestFit="1" customWidth="1"/>
    <col min="2" max="2" width="15.25" customWidth="1"/>
    <col min="3" max="3" width="14.875" customWidth="1"/>
    <col min="4" max="4" width="15.75" customWidth="1"/>
    <col min="5" max="5" width="16.25" customWidth="1"/>
    <col min="6" max="6" width="15.125" bestFit="1" customWidth="1"/>
  </cols>
  <sheetData>
    <row r="1" spans="1:7">
      <c r="A1" s="94" t="s">
        <v>1</v>
      </c>
      <c r="B1" s="94"/>
      <c r="C1" s="94"/>
      <c r="E1" s="86" t="s">
        <v>0</v>
      </c>
      <c r="F1" s="86"/>
      <c r="G1" s="86"/>
    </row>
    <row r="2" spans="1:7">
      <c r="A2" s="85" t="s">
        <v>46</v>
      </c>
      <c r="B2" s="85"/>
      <c r="C2" s="85"/>
      <c r="E2" s="86" t="s">
        <v>2</v>
      </c>
      <c r="F2" s="86"/>
      <c r="G2" s="86"/>
    </row>
    <row r="4" spans="1:7">
      <c r="A4" s="20"/>
      <c r="B4" s="20"/>
      <c r="C4" s="20"/>
    </row>
    <row r="5" spans="1:7">
      <c r="A5" s="95" t="s">
        <v>33</v>
      </c>
      <c r="B5" s="95"/>
      <c r="C5" s="95"/>
      <c r="D5" s="95"/>
      <c r="E5" s="95"/>
      <c r="F5" s="95"/>
      <c r="G5" s="95"/>
    </row>
    <row r="6" spans="1:7" ht="15">
      <c r="A6" s="93" t="s">
        <v>5</v>
      </c>
      <c r="B6" s="93"/>
      <c r="C6" s="93"/>
      <c r="D6" s="93"/>
      <c r="E6" s="93"/>
      <c r="F6" s="93"/>
      <c r="G6" s="93"/>
    </row>
    <row r="7" spans="1:7" ht="15">
      <c r="A7" s="21"/>
      <c r="B7" s="21"/>
      <c r="C7" s="21"/>
      <c r="D7" s="21"/>
      <c r="E7" s="21"/>
      <c r="F7" s="21"/>
    </row>
    <row r="8" spans="1:7" ht="16.5">
      <c r="A8" s="22" t="s">
        <v>6</v>
      </c>
      <c r="B8" s="23" t="s">
        <v>7</v>
      </c>
      <c r="C8" s="24"/>
      <c r="D8" s="9"/>
      <c r="E8" s="9"/>
    </row>
    <row r="9" spans="1:7" ht="16.5">
      <c r="A9" s="22" t="s">
        <v>8</v>
      </c>
      <c r="B9" s="24" t="s">
        <v>9</v>
      </c>
      <c r="C9" s="24"/>
      <c r="D9" s="7"/>
      <c r="E9" s="25"/>
    </row>
    <row r="10" spans="1:7" ht="16.5">
      <c r="A10" s="22" t="s">
        <v>10</v>
      </c>
      <c r="B10" s="24" t="s">
        <v>43</v>
      </c>
      <c r="C10" s="24"/>
      <c r="D10" s="9"/>
      <c r="E10" s="9"/>
    </row>
    <row r="11" spans="1:7" ht="16.5">
      <c r="A11" s="22" t="s">
        <v>11</v>
      </c>
      <c r="B11" s="96" t="s">
        <v>12</v>
      </c>
      <c r="C11" s="96"/>
      <c r="D11" s="9"/>
      <c r="E11" s="9"/>
    </row>
    <row r="12" spans="1:7" ht="16.5">
      <c r="A12" s="22" t="s">
        <v>13</v>
      </c>
      <c r="B12" s="26" t="s">
        <v>14</v>
      </c>
      <c r="C12" s="24"/>
      <c r="D12" s="9"/>
      <c r="E12" s="9"/>
    </row>
    <row r="13" spans="1:7" ht="16.5">
      <c r="A13" s="22" t="s">
        <v>15</v>
      </c>
      <c r="B13" s="97" t="s">
        <v>16</v>
      </c>
      <c r="C13" s="97"/>
      <c r="D13" s="7"/>
      <c r="E13" s="9"/>
    </row>
    <row r="14" spans="1:7" ht="16.5">
      <c r="A14" s="7"/>
      <c r="B14" s="7"/>
      <c r="C14" s="7"/>
      <c r="D14" s="7"/>
      <c r="E14" s="9"/>
    </row>
    <row r="15" spans="1:7">
      <c r="A15" s="98" t="s">
        <v>17</v>
      </c>
      <c r="B15" s="98" t="s">
        <v>18</v>
      </c>
      <c r="C15" s="98"/>
      <c r="D15" s="92" t="s">
        <v>19</v>
      </c>
      <c r="E15" s="92"/>
      <c r="F15" s="92" t="s">
        <v>34</v>
      </c>
    </row>
    <row r="16" spans="1:7">
      <c r="A16" s="98"/>
      <c r="B16" s="27" t="s">
        <v>21</v>
      </c>
      <c r="C16" s="27" t="s">
        <v>35</v>
      </c>
      <c r="D16" s="27" t="s">
        <v>22</v>
      </c>
      <c r="E16" s="27" t="s">
        <v>23</v>
      </c>
      <c r="F16" s="92"/>
    </row>
    <row r="17" spans="1:6">
      <c r="A17" s="98"/>
      <c r="B17" s="27" t="s">
        <v>24</v>
      </c>
      <c r="C17" s="28" t="s">
        <v>25</v>
      </c>
      <c r="D17" s="27" t="s">
        <v>24</v>
      </c>
      <c r="E17" s="29" t="s">
        <v>25</v>
      </c>
      <c r="F17" s="92"/>
    </row>
    <row r="18" spans="1:6" ht="15">
      <c r="A18" s="30">
        <v>1</v>
      </c>
      <c r="B18" s="31">
        <v>1.18</v>
      </c>
      <c r="C18" s="31">
        <v>3.13</v>
      </c>
      <c r="D18" s="31">
        <v>12.52</v>
      </c>
      <c r="E18" s="32">
        <v>30.81</v>
      </c>
      <c r="F18" s="90">
        <v>46007</v>
      </c>
    </row>
    <row r="19" spans="1:6" ht="15">
      <c r="A19" s="30">
        <v>2</v>
      </c>
      <c r="B19" s="31">
        <v>1.1499999999999999</v>
      </c>
      <c r="C19" s="31">
        <v>3.11</v>
      </c>
      <c r="D19" s="31">
        <v>12.25</v>
      </c>
      <c r="E19" s="32">
        <v>30.31</v>
      </c>
      <c r="F19" s="90"/>
    </row>
    <row r="20" spans="1:6" ht="15">
      <c r="A20" s="30">
        <v>3</v>
      </c>
      <c r="B20" s="31">
        <v>1.1599999999999999</v>
      </c>
      <c r="C20" s="31">
        <v>3.1</v>
      </c>
      <c r="D20" s="31">
        <v>12.55</v>
      </c>
      <c r="E20" s="32">
        <v>30.73</v>
      </c>
      <c r="F20" s="90"/>
    </row>
    <row r="21" spans="1:6" ht="15">
      <c r="A21" s="30">
        <v>4</v>
      </c>
      <c r="B21" s="31">
        <v>1.1399999999999999</v>
      </c>
      <c r="C21" s="31">
        <v>3.09</v>
      </c>
      <c r="D21" s="31">
        <v>12.53</v>
      </c>
      <c r="E21" s="32">
        <v>31.14</v>
      </c>
      <c r="F21" s="90"/>
    </row>
    <row r="22" spans="1:6" ht="15">
      <c r="A22" s="30">
        <v>5</v>
      </c>
      <c r="B22" s="31">
        <v>1.17</v>
      </c>
      <c r="C22" s="31">
        <v>3.3</v>
      </c>
      <c r="D22" s="31">
        <v>12.13</v>
      </c>
      <c r="E22" s="32">
        <v>28.78</v>
      </c>
      <c r="F22" s="90">
        <v>46008</v>
      </c>
    </row>
    <row r="23" spans="1:6" ht="15">
      <c r="A23" s="30">
        <v>6</v>
      </c>
      <c r="B23" s="31">
        <v>1.1599999999999999</v>
      </c>
      <c r="C23" s="31">
        <v>3.15</v>
      </c>
      <c r="D23" s="31">
        <v>11.94</v>
      </c>
      <c r="E23" s="32">
        <v>29.29</v>
      </c>
      <c r="F23" s="91"/>
    </row>
    <row r="24" spans="1:6" ht="15">
      <c r="A24" s="30">
        <v>7</v>
      </c>
      <c r="B24" s="31">
        <v>1.2</v>
      </c>
      <c r="C24" s="31">
        <v>3.26</v>
      </c>
      <c r="D24" s="31">
        <v>12.03</v>
      </c>
      <c r="E24" s="32">
        <v>27.96</v>
      </c>
      <c r="F24" s="91"/>
    </row>
    <row r="25" spans="1:6" ht="15">
      <c r="A25" s="30">
        <v>8</v>
      </c>
      <c r="B25" s="31">
        <v>1.19</v>
      </c>
      <c r="C25" s="31">
        <v>3.21</v>
      </c>
      <c r="D25" s="31">
        <v>12.2</v>
      </c>
      <c r="E25" s="32">
        <v>28.52</v>
      </c>
      <c r="F25" s="91"/>
    </row>
    <row r="26" spans="1:6" ht="15">
      <c r="A26" s="30">
        <v>9</v>
      </c>
      <c r="B26" s="32">
        <v>1.17</v>
      </c>
      <c r="C26" s="32">
        <v>3.18</v>
      </c>
      <c r="D26" s="32">
        <v>12.44</v>
      </c>
      <c r="E26" s="32">
        <v>31.2</v>
      </c>
      <c r="F26" s="90">
        <v>46009</v>
      </c>
    </row>
    <row r="27" spans="1:6" ht="15">
      <c r="A27" s="30">
        <v>10</v>
      </c>
      <c r="B27" s="32">
        <v>1.18</v>
      </c>
      <c r="C27" s="32">
        <v>3.19</v>
      </c>
      <c r="D27" s="32">
        <v>12.22</v>
      </c>
      <c r="E27" s="32">
        <v>31.03</v>
      </c>
      <c r="F27" s="91"/>
    </row>
    <row r="28" spans="1:6" ht="15">
      <c r="A28" s="30">
        <v>11</v>
      </c>
      <c r="B28" s="32">
        <v>1.17</v>
      </c>
      <c r="C28" s="32">
        <v>3.22</v>
      </c>
      <c r="D28" s="32">
        <v>12.48</v>
      </c>
      <c r="E28" s="32">
        <v>30.73</v>
      </c>
      <c r="F28" s="91"/>
    </row>
    <row r="29" spans="1:6" ht="15">
      <c r="A29" s="30">
        <v>12</v>
      </c>
      <c r="B29" s="32">
        <v>1.2</v>
      </c>
      <c r="C29" s="32">
        <v>3.2</v>
      </c>
      <c r="D29" s="32">
        <v>12.48</v>
      </c>
      <c r="E29" s="32">
        <v>30.72</v>
      </c>
      <c r="F29" s="91"/>
    </row>
    <row r="30" spans="1:6" ht="15">
      <c r="A30" s="30">
        <v>13</v>
      </c>
      <c r="B30" s="31">
        <v>1.1499999999999999</v>
      </c>
      <c r="C30" s="31">
        <v>3.17</v>
      </c>
      <c r="D30" s="31">
        <v>12.11</v>
      </c>
      <c r="E30" s="32">
        <v>30.97</v>
      </c>
      <c r="F30" s="90">
        <v>46010</v>
      </c>
    </row>
    <row r="31" spans="1:6" ht="15">
      <c r="A31" s="30">
        <v>14</v>
      </c>
      <c r="B31" s="31">
        <v>1.1599999999999999</v>
      </c>
      <c r="C31" s="31">
        <v>3.14</v>
      </c>
      <c r="D31" s="31">
        <v>12.4</v>
      </c>
      <c r="E31" s="32">
        <v>30.06</v>
      </c>
      <c r="F31" s="91"/>
    </row>
    <row r="32" spans="1:6" ht="15">
      <c r="A32" s="30">
        <v>15</v>
      </c>
      <c r="B32" s="31">
        <v>1.17</v>
      </c>
      <c r="C32" s="31">
        <v>3.11</v>
      </c>
      <c r="D32" s="31">
        <v>12.39</v>
      </c>
      <c r="E32" s="32">
        <v>31.16</v>
      </c>
      <c r="F32" s="91"/>
    </row>
    <row r="33" spans="1:7" ht="15">
      <c r="A33" s="30">
        <v>16</v>
      </c>
      <c r="B33" s="31">
        <v>1.18</v>
      </c>
      <c r="C33" s="31">
        <v>3.17</v>
      </c>
      <c r="D33" s="31">
        <v>12.25</v>
      </c>
      <c r="E33" s="32">
        <v>31.04</v>
      </c>
      <c r="F33" s="91"/>
    </row>
    <row r="34" spans="1:7" ht="15">
      <c r="A34" s="30">
        <v>17</v>
      </c>
      <c r="B34" s="31">
        <v>1.1599999999999999</v>
      </c>
      <c r="C34" s="31">
        <v>3.09</v>
      </c>
      <c r="D34" s="31">
        <v>12.34</v>
      </c>
      <c r="E34" s="32">
        <v>30.17</v>
      </c>
      <c r="F34" s="90">
        <v>46011</v>
      </c>
    </row>
    <row r="35" spans="1:7" ht="15">
      <c r="A35" s="30">
        <v>18</v>
      </c>
      <c r="B35" s="31">
        <v>1.17</v>
      </c>
      <c r="C35" s="31">
        <v>3.12</v>
      </c>
      <c r="D35" s="31">
        <v>12.1</v>
      </c>
      <c r="E35" s="32">
        <v>30.7</v>
      </c>
      <c r="F35" s="91"/>
    </row>
    <row r="36" spans="1:7" ht="15">
      <c r="A36" s="30">
        <v>19</v>
      </c>
      <c r="B36" s="31">
        <v>1.1499999999999999</v>
      </c>
      <c r="C36" s="31">
        <v>3.12</v>
      </c>
      <c r="D36" s="31">
        <v>12.4</v>
      </c>
      <c r="E36" s="32">
        <v>30.15</v>
      </c>
      <c r="F36" s="91"/>
    </row>
    <row r="37" spans="1:7" ht="15">
      <c r="A37" s="30">
        <v>20</v>
      </c>
      <c r="B37" s="31">
        <v>1.18</v>
      </c>
      <c r="C37" s="31">
        <v>3.03</v>
      </c>
      <c r="D37" s="31">
        <v>12.49</v>
      </c>
      <c r="E37" s="32">
        <v>30.74</v>
      </c>
      <c r="F37" s="91"/>
    </row>
    <row r="38" spans="1:7">
      <c r="A38" s="30" t="s">
        <v>26</v>
      </c>
      <c r="B38" s="47">
        <f>AVERAGE(B18:B37)</f>
        <v>1.1694999999999998</v>
      </c>
      <c r="C38" s="47">
        <f>AVERAGE(C18:C37)</f>
        <v>3.1545000000000001</v>
      </c>
      <c r="D38" s="47">
        <f>AVERAGE(D18:D37)</f>
        <v>12.312500000000002</v>
      </c>
      <c r="E38" s="47">
        <f>AVERAGE(E18:E37)</f>
        <v>30.310500000000008</v>
      </c>
      <c r="F38" s="88" t="s">
        <v>41</v>
      </c>
    </row>
    <row r="39" spans="1:7">
      <c r="A39" s="30" t="s">
        <v>27</v>
      </c>
      <c r="B39" s="47">
        <f>STDEV(B18:B37)</f>
        <v>1.6375527311718624E-2</v>
      </c>
      <c r="C39" s="47">
        <f>STDEV(C18:C37)</f>
        <v>6.4111334082943075E-2</v>
      </c>
      <c r="D39" s="47">
        <f>STDEV(D18:D37)</f>
        <v>0.18350032267288435</v>
      </c>
      <c r="E39" s="47">
        <f>STDEV(E18:E37)</f>
        <v>0.9462917932090168</v>
      </c>
      <c r="F39" s="89"/>
    </row>
    <row r="40" spans="1:7">
      <c r="A40" s="30" t="s">
        <v>28</v>
      </c>
      <c r="B40" s="47">
        <f>(B39/B38)*100</f>
        <v>1.40021610189984</v>
      </c>
      <c r="C40" s="47">
        <f t="shared" ref="C40:E40" si="0">(C39/C38)*100</f>
        <v>2.032377051290001</v>
      </c>
      <c r="D40" s="47">
        <f t="shared" si="0"/>
        <v>1.4903579506427154</v>
      </c>
      <c r="E40" s="47">
        <f t="shared" si="0"/>
        <v>3.121993346229909</v>
      </c>
      <c r="F40" s="89"/>
    </row>
    <row r="41" spans="1:7">
      <c r="A41" s="33" t="s">
        <v>29</v>
      </c>
      <c r="B41" s="33">
        <v>5.81</v>
      </c>
      <c r="C41" s="33">
        <v>5.77</v>
      </c>
      <c r="D41" s="33">
        <v>6.69</v>
      </c>
      <c r="E41" s="34">
        <v>6.54</v>
      </c>
      <c r="F41" s="89"/>
    </row>
    <row r="42" spans="1:7">
      <c r="A42" s="33" t="s">
        <v>30</v>
      </c>
      <c r="B42" s="33" t="str">
        <f>IF(B40&lt;=B41,"ĐẠT","KHÔNG ĐẠT")</f>
        <v>ĐẠT</v>
      </c>
      <c r="C42" s="33" t="str">
        <f t="shared" ref="C42:E42" si="1">IF(C40&lt;=C41,"ĐẠT","KHÔNG ĐẠT")</f>
        <v>ĐẠT</v>
      </c>
      <c r="D42" s="33" t="str">
        <f t="shared" si="1"/>
        <v>ĐẠT</v>
      </c>
      <c r="E42" s="33" t="str">
        <f t="shared" si="1"/>
        <v>ĐẠT</v>
      </c>
      <c r="F42" s="89"/>
    </row>
    <row r="43" spans="1:7" ht="16.5">
      <c r="A43" s="19"/>
      <c r="B43" s="19"/>
      <c r="C43" s="19"/>
      <c r="D43" s="19"/>
      <c r="E43" s="19"/>
    </row>
    <row r="44" spans="1:7" ht="16.5">
      <c r="A44" s="19"/>
      <c r="B44" s="19"/>
      <c r="C44" s="19"/>
      <c r="D44" s="61"/>
      <c r="E44" s="79" t="s">
        <v>36</v>
      </c>
      <c r="F44" s="80"/>
      <c r="G44" s="80"/>
    </row>
    <row r="45" spans="1:7" ht="15.75">
      <c r="A45" s="58" t="s">
        <v>42</v>
      </c>
      <c r="B45" s="58"/>
      <c r="C45" s="60" t="s">
        <v>31</v>
      </c>
      <c r="D45" s="60"/>
      <c r="E45" s="82" t="s">
        <v>32</v>
      </c>
      <c r="F45" s="82"/>
      <c r="G45" s="82"/>
    </row>
    <row r="46" spans="1:7">
      <c r="A46" s="81"/>
      <c r="B46" s="81"/>
      <c r="C46" s="81"/>
      <c r="D46" s="81"/>
      <c r="E46" s="81"/>
      <c r="F46" s="81"/>
      <c r="G46" s="81"/>
    </row>
    <row r="47" spans="1:7">
      <c r="A47" s="81"/>
      <c r="B47" s="81"/>
      <c r="C47" s="81"/>
      <c r="D47" s="81"/>
      <c r="E47" s="81"/>
      <c r="F47" s="81"/>
      <c r="G47" s="81"/>
    </row>
    <row r="48" spans="1:7">
      <c r="A48" s="81"/>
      <c r="B48" s="81"/>
      <c r="C48" s="81"/>
      <c r="D48" s="81"/>
      <c r="E48" s="81"/>
      <c r="F48" s="81"/>
      <c r="G48" s="81"/>
    </row>
    <row r="49" spans="1:7">
      <c r="A49" s="81"/>
      <c r="B49" s="81"/>
      <c r="C49" s="81"/>
      <c r="D49" s="81"/>
      <c r="E49" s="81"/>
      <c r="F49" s="81"/>
      <c r="G49" s="81"/>
    </row>
    <row r="50" spans="1:7" ht="15.75">
      <c r="A50" s="58" t="s">
        <v>44</v>
      </c>
      <c r="B50" s="58"/>
      <c r="C50" s="58" t="s">
        <v>45</v>
      </c>
      <c r="D50" s="58"/>
      <c r="E50" s="67" t="s">
        <v>37</v>
      </c>
      <c r="F50" s="67"/>
      <c r="G50" s="67"/>
    </row>
  </sheetData>
  <mergeCells count="24">
    <mergeCell ref="F15:F17"/>
    <mergeCell ref="A6:G6"/>
    <mergeCell ref="A1:C1"/>
    <mergeCell ref="A2:C2"/>
    <mergeCell ref="E1:G1"/>
    <mergeCell ref="E2:G2"/>
    <mergeCell ref="A5:G5"/>
    <mergeCell ref="B11:C11"/>
    <mergeCell ref="B13:C13"/>
    <mergeCell ref="A15:A17"/>
    <mergeCell ref="B15:C15"/>
    <mergeCell ref="D15:E15"/>
    <mergeCell ref="F18:F21"/>
    <mergeCell ref="F22:F25"/>
    <mergeCell ref="F26:F29"/>
    <mergeCell ref="F30:F33"/>
    <mergeCell ref="F34:F37"/>
    <mergeCell ref="F38:F42"/>
    <mergeCell ref="A46:B49"/>
    <mergeCell ref="E44:G44"/>
    <mergeCell ref="E45:G45"/>
    <mergeCell ref="E50:G50"/>
    <mergeCell ref="E46:G49"/>
    <mergeCell ref="C46:D49"/>
  </mergeCells>
  <pageMargins left="0.7" right="0.7" top="0.75" bottom="0.75" header="0.3" footer="0.3"/>
  <pageSetup paperSize="9" scale="71" fitToHeight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abSelected="1" topLeftCell="A37" workbookViewId="0">
      <selection activeCell="D8" sqref="D8"/>
    </sheetView>
  </sheetViews>
  <sheetFormatPr defaultRowHeight="14.25"/>
  <cols>
    <col min="1" max="1" width="25.875" bestFit="1" customWidth="1"/>
    <col min="2" max="2" width="19.25" customWidth="1"/>
    <col min="3" max="3" width="18.375" customWidth="1"/>
    <col min="4" max="4" width="19.875" customWidth="1"/>
    <col min="5" max="5" width="17.125" customWidth="1"/>
    <col min="6" max="6" width="12.75" customWidth="1"/>
  </cols>
  <sheetData>
    <row r="1" spans="1:7">
      <c r="A1" s="65" t="s">
        <v>1</v>
      </c>
      <c r="B1" s="65"/>
      <c r="C1" s="65"/>
      <c r="D1" s="86" t="s">
        <v>0</v>
      </c>
      <c r="E1" s="86"/>
      <c r="F1" s="86"/>
      <c r="G1" s="86"/>
    </row>
    <row r="2" spans="1:7">
      <c r="A2" s="102" t="s">
        <v>3</v>
      </c>
      <c r="B2" s="102"/>
      <c r="C2" s="64"/>
      <c r="D2" s="86" t="s">
        <v>2</v>
      </c>
      <c r="E2" s="86"/>
      <c r="F2" s="86"/>
      <c r="G2" s="86"/>
    </row>
    <row r="4" spans="1:7">
      <c r="A4" s="20"/>
      <c r="B4" s="20"/>
      <c r="C4" s="20"/>
    </row>
    <row r="5" spans="1:7" ht="16.5">
      <c r="A5" s="100" t="s">
        <v>4</v>
      </c>
      <c r="B5" s="100"/>
      <c r="C5" s="100"/>
      <c r="D5" s="100"/>
      <c r="E5" s="100"/>
      <c r="F5" s="100"/>
    </row>
    <row r="6" spans="1:7" ht="17.25">
      <c r="A6" s="101" t="s">
        <v>5</v>
      </c>
      <c r="B6" s="101"/>
      <c r="C6" s="101"/>
      <c r="D6" s="101"/>
      <c r="E6" s="101"/>
      <c r="F6" s="101"/>
    </row>
    <row r="7" spans="1:7" ht="17.25">
      <c r="A7" s="35"/>
      <c r="B7" s="35"/>
      <c r="C7" s="35"/>
      <c r="D7" s="35"/>
      <c r="E7" s="35"/>
    </row>
    <row r="8" spans="1:7" ht="16.5">
      <c r="A8" s="7" t="s">
        <v>6</v>
      </c>
      <c r="B8" s="36" t="s">
        <v>7</v>
      </c>
      <c r="C8" s="9"/>
      <c r="D8" s="9"/>
      <c r="E8" s="9"/>
    </row>
    <row r="9" spans="1:7" ht="16.5">
      <c r="A9" s="7" t="s">
        <v>8</v>
      </c>
      <c r="B9" s="9" t="s">
        <v>9</v>
      </c>
      <c r="C9" s="9"/>
      <c r="D9" s="7"/>
      <c r="E9" s="25"/>
    </row>
    <row r="10" spans="1:7" ht="16.5">
      <c r="A10" s="7" t="s">
        <v>10</v>
      </c>
      <c r="B10" s="9" t="s">
        <v>43</v>
      </c>
      <c r="C10" s="9"/>
      <c r="D10" s="9"/>
      <c r="E10" s="9"/>
    </row>
    <row r="11" spans="1:7" ht="16.5">
      <c r="A11" s="7" t="s">
        <v>11</v>
      </c>
      <c r="B11" s="99" t="s">
        <v>12</v>
      </c>
      <c r="C11" s="99"/>
      <c r="D11" s="9"/>
      <c r="E11" s="9"/>
    </row>
    <row r="12" spans="1:7" ht="16.5">
      <c r="A12" s="7" t="s">
        <v>13</v>
      </c>
      <c r="B12" s="37">
        <v>46007</v>
      </c>
      <c r="C12" s="9"/>
      <c r="D12" s="9"/>
      <c r="E12" s="9"/>
    </row>
    <row r="13" spans="1:7" ht="16.5">
      <c r="A13" s="7" t="s">
        <v>15</v>
      </c>
      <c r="B13" s="66" t="s">
        <v>16</v>
      </c>
      <c r="C13" s="7"/>
      <c r="D13" s="7"/>
      <c r="E13" s="9"/>
    </row>
    <row r="14" spans="1:7" ht="16.5">
      <c r="A14" s="7"/>
      <c r="B14" s="8"/>
      <c r="C14" s="8"/>
      <c r="D14" s="7"/>
      <c r="E14" s="9"/>
    </row>
    <row r="15" spans="1:7" ht="16.5">
      <c r="A15" s="109" t="s">
        <v>17</v>
      </c>
      <c r="B15" s="110" t="s">
        <v>18</v>
      </c>
      <c r="C15" s="111"/>
      <c r="D15" s="112" t="s">
        <v>19</v>
      </c>
      <c r="E15" s="112"/>
      <c r="F15" s="104" t="s">
        <v>20</v>
      </c>
    </row>
    <row r="16" spans="1:7" ht="33">
      <c r="A16" s="109"/>
      <c r="B16" s="38" t="s">
        <v>21</v>
      </c>
      <c r="C16" s="39" t="s">
        <v>35</v>
      </c>
      <c r="D16" s="38" t="s">
        <v>22</v>
      </c>
      <c r="E16" s="39" t="s">
        <v>23</v>
      </c>
      <c r="F16" s="105"/>
    </row>
    <row r="17" spans="1:6" ht="16.5">
      <c r="A17" s="109"/>
      <c r="B17" s="38" t="s">
        <v>24</v>
      </c>
      <c r="C17" s="40" t="s">
        <v>25</v>
      </c>
      <c r="D17" s="38" t="s">
        <v>24</v>
      </c>
      <c r="E17" s="41" t="s">
        <v>25</v>
      </c>
      <c r="F17" s="106"/>
    </row>
    <row r="18" spans="1:6" ht="16.5">
      <c r="A18" s="43">
        <v>1</v>
      </c>
      <c r="B18" s="48">
        <v>1.18</v>
      </c>
      <c r="C18" s="48">
        <v>3.13</v>
      </c>
      <c r="D18" s="48">
        <v>12.52</v>
      </c>
      <c r="E18" s="49">
        <v>30.81</v>
      </c>
      <c r="F18" s="42"/>
    </row>
    <row r="19" spans="1:6" ht="16.5">
      <c r="A19" s="43">
        <v>2</v>
      </c>
      <c r="B19" s="48">
        <v>1.1499999999999999</v>
      </c>
      <c r="C19" s="48">
        <v>3.11</v>
      </c>
      <c r="D19" s="48">
        <v>12.25</v>
      </c>
      <c r="E19" s="49">
        <v>30.31</v>
      </c>
      <c r="F19" s="42"/>
    </row>
    <row r="20" spans="1:6" ht="16.5">
      <c r="A20" s="43">
        <v>3</v>
      </c>
      <c r="B20" s="48">
        <v>1.1599999999999999</v>
      </c>
      <c r="C20" s="48">
        <v>3.1</v>
      </c>
      <c r="D20" s="48">
        <v>12.55</v>
      </c>
      <c r="E20" s="49">
        <v>30.73</v>
      </c>
      <c r="F20" s="42"/>
    </row>
    <row r="21" spans="1:6" ht="16.5">
      <c r="A21" s="43">
        <v>4</v>
      </c>
      <c r="B21" s="48">
        <v>1.1399999999999999</v>
      </c>
      <c r="C21" s="48">
        <v>3.09</v>
      </c>
      <c r="D21" s="48">
        <v>12.53</v>
      </c>
      <c r="E21" s="49">
        <v>31.14</v>
      </c>
      <c r="F21" s="42"/>
    </row>
    <row r="22" spans="1:6" ht="16.5">
      <c r="A22" s="43">
        <v>5</v>
      </c>
      <c r="B22" s="48">
        <v>1.17</v>
      </c>
      <c r="C22" s="48">
        <v>3.3</v>
      </c>
      <c r="D22" s="48">
        <v>12.13</v>
      </c>
      <c r="E22" s="49">
        <v>28.78</v>
      </c>
      <c r="F22" s="42"/>
    </row>
    <row r="23" spans="1:6" ht="16.5">
      <c r="A23" s="43">
        <v>6</v>
      </c>
      <c r="B23" s="48">
        <v>1.1599999999999999</v>
      </c>
      <c r="C23" s="48">
        <v>3.15</v>
      </c>
      <c r="D23" s="48">
        <v>11.94</v>
      </c>
      <c r="E23" s="49">
        <v>29.29</v>
      </c>
      <c r="F23" s="42"/>
    </row>
    <row r="24" spans="1:6" ht="16.5">
      <c r="A24" s="43">
        <v>7</v>
      </c>
      <c r="B24" s="48">
        <v>1.2</v>
      </c>
      <c r="C24" s="48">
        <v>3.26</v>
      </c>
      <c r="D24" s="48">
        <v>12.03</v>
      </c>
      <c r="E24" s="49">
        <v>27.96</v>
      </c>
      <c r="F24" s="42"/>
    </row>
    <row r="25" spans="1:6" ht="16.5">
      <c r="A25" s="43">
        <v>8</v>
      </c>
      <c r="B25" s="48">
        <v>1.19</v>
      </c>
      <c r="C25" s="48">
        <v>3.21</v>
      </c>
      <c r="D25" s="48">
        <v>12.2</v>
      </c>
      <c r="E25" s="49">
        <v>28.52</v>
      </c>
      <c r="F25" s="42"/>
    </row>
    <row r="26" spans="1:6" ht="16.5">
      <c r="A26" s="43">
        <v>9</v>
      </c>
      <c r="B26" s="49">
        <v>1.17</v>
      </c>
      <c r="C26" s="49">
        <v>3.18</v>
      </c>
      <c r="D26" s="49">
        <v>12.44</v>
      </c>
      <c r="E26" s="49">
        <v>31.2</v>
      </c>
      <c r="F26" s="42"/>
    </row>
    <row r="27" spans="1:6" ht="16.5">
      <c r="A27" s="43">
        <v>10</v>
      </c>
      <c r="B27" s="49">
        <v>1.18</v>
      </c>
      <c r="C27" s="49">
        <v>3.19</v>
      </c>
      <c r="D27" s="49">
        <v>12.22</v>
      </c>
      <c r="E27" s="49">
        <v>31.03</v>
      </c>
      <c r="F27" s="42"/>
    </row>
    <row r="28" spans="1:6" ht="16.5">
      <c r="A28" s="43">
        <v>11</v>
      </c>
      <c r="B28" s="49">
        <v>1.17</v>
      </c>
      <c r="C28" s="49">
        <v>3.22</v>
      </c>
      <c r="D28" s="49">
        <v>12.48</v>
      </c>
      <c r="E28" s="49">
        <v>30.73</v>
      </c>
      <c r="F28" s="44"/>
    </row>
    <row r="29" spans="1:6" ht="16.5">
      <c r="A29" s="43">
        <v>12</v>
      </c>
      <c r="B29" s="49">
        <v>1.2</v>
      </c>
      <c r="C29" s="49">
        <v>3.2</v>
      </c>
      <c r="D29" s="49">
        <v>12.48</v>
      </c>
      <c r="E29" s="49">
        <v>30.72</v>
      </c>
      <c r="F29" s="44"/>
    </row>
    <row r="30" spans="1:6" ht="16.5">
      <c r="A30" s="43">
        <v>13</v>
      </c>
      <c r="B30" s="48">
        <v>1.1499999999999999</v>
      </c>
      <c r="C30" s="48">
        <v>3.17</v>
      </c>
      <c r="D30" s="48">
        <v>12.11</v>
      </c>
      <c r="E30" s="49">
        <v>30.97</v>
      </c>
      <c r="F30" s="44"/>
    </row>
    <row r="31" spans="1:6" ht="16.5">
      <c r="A31" s="43">
        <v>14</v>
      </c>
      <c r="B31" s="48">
        <v>1.1599999999999999</v>
      </c>
      <c r="C31" s="48">
        <v>3.14</v>
      </c>
      <c r="D31" s="48">
        <v>12.4</v>
      </c>
      <c r="E31" s="49">
        <v>30.06</v>
      </c>
      <c r="F31" s="44"/>
    </row>
    <row r="32" spans="1:6" ht="16.5">
      <c r="A32" s="43">
        <v>15</v>
      </c>
      <c r="B32" s="48">
        <v>1.17</v>
      </c>
      <c r="C32" s="48">
        <v>3.11</v>
      </c>
      <c r="D32" s="48">
        <v>12.39</v>
      </c>
      <c r="E32" s="49">
        <v>31.16</v>
      </c>
      <c r="F32" s="44"/>
    </row>
    <row r="33" spans="1:8" ht="16.5">
      <c r="A33" s="43">
        <v>16</v>
      </c>
      <c r="B33" s="48">
        <v>1.18</v>
      </c>
      <c r="C33" s="48">
        <v>3.17</v>
      </c>
      <c r="D33" s="48">
        <v>12.25</v>
      </c>
      <c r="E33" s="49">
        <v>31.04</v>
      </c>
      <c r="F33" s="44"/>
    </row>
    <row r="34" spans="1:8" ht="16.5">
      <c r="A34" s="43">
        <v>17</v>
      </c>
      <c r="B34" s="48">
        <v>1.1599999999999999</v>
      </c>
      <c r="C34" s="48">
        <v>3.09</v>
      </c>
      <c r="D34" s="48">
        <v>12.34</v>
      </c>
      <c r="E34" s="49">
        <v>30.17</v>
      </c>
      <c r="F34" s="44"/>
    </row>
    <row r="35" spans="1:8" ht="16.5">
      <c r="A35" s="43">
        <v>18</v>
      </c>
      <c r="B35" s="48">
        <v>1.17</v>
      </c>
      <c r="C35" s="48">
        <v>3.12</v>
      </c>
      <c r="D35" s="48">
        <v>12.1</v>
      </c>
      <c r="E35" s="49">
        <v>30.7</v>
      </c>
      <c r="F35" s="44"/>
    </row>
    <row r="36" spans="1:8" ht="16.5">
      <c r="A36" s="43">
        <v>19</v>
      </c>
      <c r="B36" s="48">
        <v>1.1499999999999999</v>
      </c>
      <c r="C36" s="48">
        <v>3.12</v>
      </c>
      <c r="D36" s="48">
        <v>12.4</v>
      </c>
      <c r="E36" s="49">
        <v>30.15</v>
      </c>
      <c r="F36" s="44"/>
    </row>
    <row r="37" spans="1:8" ht="16.5">
      <c r="A37" s="43">
        <v>20</v>
      </c>
      <c r="B37" s="48">
        <v>1.18</v>
      </c>
      <c r="C37" s="48">
        <v>3.03</v>
      </c>
      <c r="D37" s="48">
        <v>12.49</v>
      </c>
      <c r="E37" s="49">
        <v>30.74</v>
      </c>
      <c r="F37" s="44"/>
    </row>
    <row r="38" spans="1:8" ht="16.5">
      <c r="A38" s="43" t="s">
        <v>26</v>
      </c>
      <c r="B38" s="50">
        <f>AVERAGE(B18:B37)</f>
        <v>1.1694999999999998</v>
      </c>
      <c r="C38" s="50">
        <f>AVERAGE(C18:C37)</f>
        <v>3.1545000000000001</v>
      </c>
      <c r="D38" s="50">
        <f>AVERAGE(D18:D37)</f>
        <v>12.312500000000002</v>
      </c>
      <c r="E38" s="50">
        <f>AVERAGE(E18:E37)</f>
        <v>30.310500000000008</v>
      </c>
      <c r="F38" s="44"/>
    </row>
    <row r="39" spans="1:8" ht="16.5">
      <c r="A39" s="43" t="s">
        <v>27</v>
      </c>
      <c r="B39" s="51">
        <f>STDEV(B18:B37)</f>
        <v>1.6375527311718624E-2</v>
      </c>
      <c r="C39" s="51">
        <f t="shared" ref="C39:E39" si="0">STDEV(C18:C37)</f>
        <v>6.4111334082943075E-2</v>
      </c>
      <c r="D39" s="51">
        <f t="shared" si="0"/>
        <v>0.18350032267288435</v>
      </c>
      <c r="E39" s="51">
        <f t="shared" si="0"/>
        <v>0.9462917932090168</v>
      </c>
      <c r="F39" s="44"/>
    </row>
    <row r="40" spans="1:8" ht="16.5" customHeight="1">
      <c r="A40" s="43" t="s">
        <v>38</v>
      </c>
      <c r="B40" s="50">
        <f>ABS(B38-1.14)*100/1.14</f>
        <v>2.5877192982456019</v>
      </c>
      <c r="C40" s="50">
        <f>ABS(C38-3.38)*100/3.38</f>
        <v>6.6715976331360896</v>
      </c>
      <c r="D40" s="50">
        <f>ABS(D38-12.5)*100/12.5</f>
        <v>1.4999999999999858</v>
      </c>
      <c r="E40" s="50">
        <f>ABS(E38-31.77)*100/31.77</f>
        <v>4.5939565627950625</v>
      </c>
      <c r="F40" s="44"/>
    </row>
    <row r="41" spans="1:8" ht="16.5">
      <c r="A41" s="45" t="s">
        <v>40</v>
      </c>
      <c r="B41" s="46">
        <v>9.2200000000000006</v>
      </c>
      <c r="C41" s="46">
        <v>9.2200000000000006</v>
      </c>
      <c r="D41" s="56">
        <v>8</v>
      </c>
      <c r="E41" s="56">
        <v>8</v>
      </c>
      <c r="F41" s="44"/>
    </row>
    <row r="42" spans="1:8" ht="16.5">
      <c r="A42" s="45" t="s">
        <v>30</v>
      </c>
      <c r="B42" s="52" t="str">
        <f>IF(B40&lt;=B41,"ĐẠT","KHÔNG ĐẠT")</f>
        <v>ĐẠT</v>
      </c>
      <c r="C42" s="52" t="str">
        <f>IF(C40&lt;=C41,"ĐẠT","KHÔNG ĐẠT")</f>
        <v>ĐẠT</v>
      </c>
      <c r="D42" s="52" t="str">
        <f>IF(D40&lt;=D41,"ĐẠT","KHÔNG ĐẠT")</f>
        <v>ĐẠT</v>
      </c>
      <c r="E42" s="52" t="str">
        <f>IF(E40&lt;=E41,"ĐẠT","KHÔNG ĐẠT")</f>
        <v>ĐẠT</v>
      </c>
      <c r="F42" s="44"/>
    </row>
    <row r="43" spans="1:8" ht="15.75">
      <c r="A43" s="108" t="s">
        <v>39</v>
      </c>
      <c r="B43" s="108"/>
      <c r="C43" s="108"/>
      <c r="D43" s="108"/>
      <c r="E43" s="108"/>
      <c r="F43" s="108"/>
      <c r="G43" s="59"/>
    </row>
    <row r="44" spans="1:8" ht="16.5">
      <c r="A44" s="19"/>
      <c r="B44" s="19"/>
      <c r="C44" s="19"/>
      <c r="D44" s="107"/>
      <c r="E44" s="107"/>
      <c r="G44" s="60"/>
    </row>
    <row r="45" spans="1:8" ht="16.5">
      <c r="A45" s="19"/>
      <c r="B45" s="19"/>
      <c r="C45" s="19"/>
      <c r="D45" s="103"/>
      <c r="E45" s="103"/>
      <c r="G45" s="57"/>
    </row>
    <row r="46" spans="1:8" ht="16.5">
      <c r="A46" s="19"/>
      <c r="B46" s="19"/>
      <c r="C46" s="19"/>
      <c r="D46" s="79" t="s">
        <v>36</v>
      </c>
      <c r="E46" s="79"/>
      <c r="F46" s="79"/>
      <c r="G46" s="79"/>
      <c r="H46" s="61"/>
    </row>
    <row r="47" spans="1:8" ht="15.75">
      <c r="A47" s="58" t="s">
        <v>42</v>
      </c>
      <c r="B47" s="63"/>
      <c r="C47" s="60" t="s">
        <v>31</v>
      </c>
      <c r="D47" s="62"/>
      <c r="E47" s="60" t="s">
        <v>32</v>
      </c>
      <c r="F47" s="62"/>
      <c r="G47" s="57"/>
    </row>
    <row r="48" spans="1:8">
      <c r="A48" s="81"/>
      <c r="B48" s="81"/>
      <c r="C48" s="81"/>
      <c r="D48" s="81"/>
      <c r="E48" s="57"/>
      <c r="F48" s="57"/>
      <c r="G48" s="57"/>
    </row>
    <row r="49" spans="1:7" ht="15.75">
      <c r="A49" s="81"/>
      <c r="B49" s="81"/>
      <c r="C49" s="81"/>
      <c r="D49" s="81"/>
      <c r="E49" s="57"/>
      <c r="F49" s="57"/>
      <c r="G49" s="58"/>
    </row>
    <row r="50" spans="1:7">
      <c r="A50" s="81"/>
      <c r="B50" s="81"/>
      <c r="C50" s="81"/>
      <c r="D50" s="81"/>
      <c r="E50" s="57"/>
      <c r="F50" s="57"/>
    </row>
    <row r="51" spans="1:7">
      <c r="A51" s="81"/>
      <c r="B51" s="81"/>
      <c r="C51" s="81"/>
      <c r="D51" s="81"/>
      <c r="E51" s="57"/>
      <c r="F51" s="57"/>
    </row>
    <row r="52" spans="1:7" ht="15.75">
      <c r="A52" s="58" t="s">
        <v>44</v>
      </c>
      <c r="B52" s="63"/>
      <c r="C52" s="58" t="s">
        <v>45</v>
      </c>
      <c r="D52" s="63"/>
      <c r="E52" s="58" t="s">
        <v>37</v>
      </c>
      <c r="F52" s="63"/>
    </row>
  </sheetData>
  <mergeCells count="16">
    <mergeCell ref="A48:B51"/>
    <mergeCell ref="C48:D51"/>
    <mergeCell ref="D45:E45"/>
    <mergeCell ref="F15:F17"/>
    <mergeCell ref="D44:E44"/>
    <mergeCell ref="A43:F43"/>
    <mergeCell ref="D46:G46"/>
    <mergeCell ref="A15:A17"/>
    <mergeCell ref="B15:C15"/>
    <mergeCell ref="D15:E15"/>
    <mergeCell ref="B11:C11"/>
    <mergeCell ref="D1:G1"/>
    <mergeCell ref="D2:G2"/>
    <mergeCell ref="A5:F5"/>
    <mergeCell ref="A6:F6"/>
    <mergeCell ref="A2:B2"/>
  </mergeCells>
  <hyperlinks>
    <hyperlink ref="A43" r:id="rId1" display="https://westgard.com/clia-a-quality/quality-requirements/biodatabase1.html"/>
  </hyperlinks>
  <pageMargins left="0.7" right="0.7" top="0.75" bottom="0.75" header="0.3" footer="0.3"/>
  <pageSetup scale="68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ĐỘ LẶP</vt:lpstr>
      <vt:lpstr>ĐỘ TÁI LẶP</vt:lpstr>
      <vt:lpstr>ĐỘ ĐÚNG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VSMD</cp:lastModifiedBy>
  <cp:lastPrinted>2025-12-22T02:41:31Z</cp:lastPrinted>
  <dcterms:created xsi:type="dcterms:W3CDTF">2025-12-20T03:50:24Z</dcterms:created>
  <dcterms:modified xsi:type="dcterms:W3CDTF">2025-12-24T03:42:11Z</dcterms:modified>
</cp:coreProperties>
</file>