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"/>
    </mc:Choice>
  </mc:AlternateContent>
  <bookViews>
    <workbookView xWindow="-105" yWindow="-105" windowWidth="19425" windowHeight="10425" activeTab="2"/>
  </bookViews>
  <sheets>
    <sheet name="HOME" sheetId="7" r:id="rId1"/>
    <sheet name="1.1.HBsAg" sheetId="18" r:id="rId2"/>
    <sheet name="1.2.HBsAg" sheetId="83" r:id="rId3"/>
  </sheets>
  <externalReferences>
    <externalReference r:id="rId4"/>
  </externalReferences>
  <definedNames>
    <definedName name="BPC_AnTrua">[1]BPC!$J$14:$J$21</definedName>
    <definedName name="BPC_DiLai">[1]BPC!$L$14:$L$21</definedName>
    <definedName name="BPC_Khac">[1]BPC!$M$14:$M$21</definedName>
    <definedName name="BPC_LienLac">[1]BPC!$K$14:$K$21</definedName>
    <definedName name="BPC_TongPhuCap">[1]BPC!$N$14:$N$21</definedName>
    <definedName name="BPC_TrachNhiem">[1]BPC!$I$14:$I$21</definedName>
    <definedName name="CDPS">[1]BCDTK!$G$14:$N$154</definedName>
    <definedName name="CODE">[1]BCDTK!$O$14:$O$154</definedName>
    <definedName name="CODE_CNTH">[1]CNTH!$H$15:$H$25</definedName>
    <definedName name="DCCK">[1]BCDTK!$N$14:$N$154</definedName>
    <definedName name="DCCK_CNTH">[1]CNTH!$N$15:$N$25</definedName>
    <definedName name="DCDK">[1]BCDTK!$J$14:$J$154</definedName>
    <definedName name="DCDK_CNTH">[1]CNTH!$J$15:$J$25</definedName>
    <definedName name="DCDN">IF([1]TTDN!$H$8&gt;0,[1]TTDN!$H$8,"")</definedName>
    <definedName name="DCTK">[1]BCDTK!$L$14:$L$154</definedName>
    <definedName name="DNCK">[1]BCDTK!$M$14:$M$154</definedName>
    <definedName name="DNCK_CNTH">[1]CNTH!$M$15:$M$25</definedName>
    <definedName name="DNDK">[1]BCDTK!$I$14:$I$154</definedName>
    <definedName name="DNDK_CNTH">[1]CNTH!$I$15:$I$25</definedName>
    <definedName name="DNTK">[1]BCDTK!$K$14:$K$154</definedName>
    <definedName name="DULIEU_BIA">[1]TEMP!$C$36:$J$50</definedName>
    <definedName name="DULIEU_NX">[1]DLNX!$C$16:$U$526</definedName>
    <definedName name="KYTU">LEN([1]SC!$K$8)</definedName>
    <definedName name="KYTU_SCT">LEN([1]SCTC!$J$8)</definedName>
    <definedName name="MA_CHIPHI">[1]CPTH!$E$14:$E$24</definedName>
    <definedName name="MA_CONGNO">[1]CNTH!$E$15:$E$25</definedName>
    <definedName name="MA_CONGNO_CO">[1]PHATSINH!$J$16:$J$516</definedName>
    <definedName name="MA_CONGNO_NO">[1]PHATSINH!$I$16:$I$516</definedName>
    <definedName name="MA_LCTT">[1]LCTT!$Q$16:$Q$39</definedName>
    <definedName name="MA_N">[1]DLNX!$V$16:$V$526</definedName>
    <definedName name="MA_NV">[1]DSNV!$F$14:$F$21</definedName>
    <definedName name="MA_VAT">[1]TEMP!$C$53:$C$63</definedName>
    <definedName name="MA_VATTU">[1]NXT!$F$14:$F$17</definedName>
    <definedName name="MA_X">[1]DLNX!$W$16:$W$526</definedName>
    <definedName name="MA_YEUTO">[1]TMBCTC!$D$191:$D$195</definedName>
    <definedName name="MSTDN">IF([1]TTDN!$H$10&gt;0,"MST:"&amp;" "&amp;[1]TTDN!$H$10,"")</definedName>
    <definedName name="MucThue">[1]KTT!$G$8:$J$15</definedName>
    <definedName name="NXT">[1]NXT!$F$14:$S$17</definedName>
    <definedName name="NXT_SL_TONDAUKY">[1]NXT!$K$14:$K$17</definedName>
    <definedName name="NXT_TT_TONDAUKY">[1]NXT!$L$14:$L$17</definedName>
    <definedName name="PHATSINH_MATHUEVAT">[1]PHATSINH!$Z$16:$Z$516</definedName>
    <definedName name="PHATSINH_NGAYKEKHAI">[1]PHATSINH!$Y$16:$Y$516</definedName>
    <definedName name="PS_DGIAI">[1]PHATSINH!$E$16:$E$516</definedName>
    <definedName name="PSCO_CNTH">[1]CNTH!$L$15:$L$25</definedName>
    <definedName name="PSNO_CNTH">[1]CNTH!$K$15:$K$25</definedName>
    <definedName name="SL_NX">[1]DLNX!$S$16:$S$526</definedName>
    <definedName name="SOHIEU_CT">[1]PHATSINH!$C$16:$C$516</definedName>
    <definedName name="SOTIEN">[1]PHATSINH!$H$16:$H$516</definedName>
    <definedName name="TENDN">IF([1]TTDN!$H$6&gt;0,[1]TTDN!$H$6,"")</definedName>
    <definedName name="TINHTHANH">[1]TEMP!$B$1:$B$63</definedName>
    <definedName name="TK">[1]BCDTK!$G$14:$G$154</definedName>
    <definedName name="TK_TIEN">[1]BCDTK!$G$14:$G$23</definedName>
    <definedName name="TK_TIENGUI">[1]BCDTK!$G$18:$G$23</definedName>
    <definedName name="TK_TIENMAT">[1]BCDTK!$G$14:$G$17</definedName>
    <definedName name="TKCO">[1]PHATSINH!$G$16:$G$516</definedName>
    <definedName name="TKNO">[1]PHATSINH!$F$16:$F$516</definedName>
    <definedName name="TS">[1]TEMP!$I$28:$I$31</definedName>
    <definedName name="TT_NX">[1]DLNX!$U$16:$U$526</definedName>
    <definedName name="VIP">[1]BCDTK!$P$14:$P$154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7" l="1"/>
  <c r="E33" i="83" l="1"/>
  <c r="E34" i="83" s="1"/>
  <c r="E35" i="83" s="1"/>
  <c r="F33" i="83"/>
  <c r="F34" i="83" s="1"/>
  <c r="F35" i="83" s="1"/>
  <c r="G33" i="83"/>
  <c r="G34" i="83" s="1"/>
  <c r="G35" i="83" s="1"/>
  <c r="D33" i="83"/>
  <c r="D34" i="83" s="1"/>
  <c r="D35" i="83" s="1"/>
  <c r="C35" i="18"/>
  <c r="C34" i="18"/>
  <c r="C33" i="18"/>
  <c r="C32" i="18"/>
  <c r="E40" i="18" l="1"/>
  <c r="E36" i="18"/>
  <c r="E39" i="18"/>
  <c r="E38" i="18"/>
  <c r="E37" i="18"/>
</calcChain>
</file>

<file path=xl/sharedStrings.xml><?xml version="1.0" encoding="utf-8"?>
<sst xmlns="http://schemas.openxmlformats.org/spreadsheetml/2006/main" count="217" uniqueCount="47">
  <si>
    <t>Đánh giá</t>
  </si>
  <si>
    <t xml:space="preserve">Đơn vị: </t>
  </si>
  <si>
    <t>Ghi chú bổ sung:</t>
  </si>
  <si>
    <t>Người phê duyệt: ____________________</t>
  </si>
  <si>
    <t>KẾT LUẬN CHUNG</t>
  </si>
  <si>
    <t xml:space="preserve">           </t>
  </si>
  <si>
    <t>Ngày phê duyệt:</t>
  </si>
  <si>
    <t>TÊN XÉT NGHIỆM: HBsAg test nhanh</t>
  </si>
  <si>
    <t>Tên quy trình:</t>
  </si>
  <si>
    <t>Loại mẫu:</t>
  </si>
  <si>
    <t xml:space="preserve">Vật tư sử dụng: </t>
  </si>
  <si>
    <t xml:space="preserve">Bộ phận thực hiện: </t>
  </si>
  <si>
    <t xml:space="preserve">Người thực hiện: </t>
  </si>
  <si>
    <t>Ngày thực hiện:</t>
  </si>
  <si>
    <t>Lần thực 
hiện</t>
  </si>
  <si>
    <t>Kết quả 
chuẩn</t>
  </si>
  <si>
    <t>Kết quả 
thực hiện</t>
  </si>
  <si>
    <t>Số mẫu dương tính thật (TP)</t>
  </si>
  <si>
    <t>Số mẫu dương tính giả (FP)</t>
  </si>
  <si>
    <t>Số mẫu âm tính thật (TN)</t>
  </si>
  <si>
    <t>Số mẫu âm tính giả (FN)</t>
  </si>
  <si>
    <t>Dương tính</t>
  </si>
  <si>
    <t>Âm tính</t>
  </si>
  <si>
    <t>Độ chính xác (AC= (TP+TN)/N x 100)</t>
  </si>
  <si>
    <t>Độ nhạy (SE = TP/(TP+FN) x 100)</t>
  </si>
  <si>
    <t>Độ đặc hiệu (SP=TN/(TN+FP) x 100)</t>
  </si>
  <si>
    <t>Tỉ lệ dương tính giả (PD = FP/(FP+TP) x 100)</t>
  </si>
  <si>
    <t>Tỉ lệ âm tính giả (ND = (FN/(FN+TN) x 100)</t>
  </si>
  <si>
    <t>Tổng số kết quả (N)</t>
  </si>
  <si>
    <t>PHIẾU ĐÁNH GIÁ ĐỘ CHÍNH XÁC, ĐỘ NHẠY VÀ ĐỘ ĐẶC HIỆU</t>
  </si>
  <si>
    <t>Tên/mã mẫu 
pha loãng</t>
  </si>
  <si>
    <t>LOD NSX (nếu có)</t>
  </si>
  <si>
    <t>Kết quả 
thực hiện theo NSX (nếu có)</t>
  </si>
  <si>
    <t>Nồng độ 1</t>
  </si>
  <si>
    <t>Nồng độ 2</t>
  </si>
  <si>
    <t>Nồng độ 3</t>
  </si>
  <si>
    <t>+</t>
  </si>
  <si>
    <t>-</t>
  </si>
  <si>
    <t>Tổng số lần thực hiện</t>
  </si>
  <si>
    <t>Tỉ lệ % Dương tính (+)</t>
  </si>
  <si>
    <t>Số mẫu Dương tính</t>
  </si>
  <si>
    <t>Kết quả thực hiện nếu NSX
không công bố LOD</t>
  </si>
  <si>
    <t xml:space="preserve">Mã quy trình: </t>
  </si>
  <si>
    <t>Tên/mã mẫu 
"Dương tính"</t>
  </si>
  <si>
    <t>Tên/mã mẫu 
"Âm tính"</t>
  </si>
  <si>
    <t>0.1 IU/mL</t>
  </si>
  <si>
    <t>PHIẾU XÁC ĐỊNH GIỚI HẠN PHÁT HIỆN (LOD)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</si>
</sst>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i/>
      <sz val="14"/>
      <color theme="1" tint="4.9989318521683403E-2"/>
      <name val="Calibri Light"/>
      <family val="1"/>
      <charset val="163"/>
      <scheme val="major"/>
    </font>
    <font>
      <b/>
      <sz val="11"/>
      <color theme="1"/>
      <name val="Calibri"/>
      <family val="2"/>
      <scheme val="minor"/>
    </font>
    <font>
      <b/>
      <i/>
      <sz val="12"/>
      <color theme="1" tint="4.9989318521683403E-2"/>
      <name val="Calibri Light"/>
      <family val="1"/>
      <charset val="163"/>
      <scheme val="maj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i/>
      <sz val="13"/>
      <color theme="1"/>
      <name val="Times New Roman"/>
      <family val="1"/>
    </font>
    <font>
      <b/>
      <sz val="11"/>
      <name val="Times New Roman"/>
      <family val="1"/>
    </font>
    <font>
      <b/>
      <sz val="11"/>
      <color theme="4"/>
      <name val="Times New Roman"/>
      <family val="1"/>
    </font>
    <font>
      <b/>
      <sz val="11"/>
      <color theme="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1" fillId="2" borderId="0" xfId="1" applyFill="1"/>
    <xf numFmtId="0" fontId="1" fillId="3" borderId="0" xfId="1" applyFill="1"/>
    <xf numFmtId="0" fontId="2" fillId="0" borderId="0" xfId="1" applyFont="1"/>
    <xf numFmtId="0" fontId="1" fillId="0" borderId="0" xfId="1"/>
    <xf numFmtId="0" fontId="3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1" fillId="0" borderId="0" xfId="1" applyProtection="1">
      <protection hidden="1"/>
    </xf>
    <xf numFmtId="0" fontId="0" fillId="0" borderId="5" xfId="0" applyBorder="1"/>
    <xf numFmtId="0" fontId="7" fillId="0" borderId="1" xfId="0" applyFont="1" applyBorder="1"/>
    <xf numFmtId="0" fontId="7" fillId="0" borderId="0" xfId="0" applyFont="1"/>
    <xf numFmtId="0" fontId="7" fillId="0" borderId="0" xfId="0" applyFont="1" applyAlignment="1">
      <alignment horizontal="left" vertical="center" indent="5"/>
    </xf>
    <xf numFmtId="0" fontId="0" fillId="0" borderId="4" xfId="0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" fontId="11" fillId="0" borderId="1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2" fontId="13" fillId="0" borderId="6" xfId="0" applyNumberFormat="1" applyFont="1" applyBorder="1" applyAlignment="1">
      <alignment horizontal="center"/>
    </xf>
    <xf numFmtId="2" fontId="13" fillId="0" borderId="3" xfId="0" applyNumberFormat="1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1" fontId="12" fillId="0" borderId="2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1.1.HBsAg'!A1"/><Relationship Id="rId2" Type="http://schemas.openxmlformats.org/officeDocument/2006/relationships/image" Target="../media/image1.png"/><Relationship Id="rId1" Type="http://schemas.openxmlformats.org/officeDocument/2006/relationships/hyperlink" Target="#HOME!A1"/><Relationship Id="rId4" Type="http://schemas.openxmlformats.org/officeDocument/2006/relationships/hyperlink" Target="#'1.2.HBsAg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19049</xdr:rowOff>
    </xdr:from>
    <xdr:to>
      <xdr:col>14</xdr:col>
      <xdr:colOff>228599</xdr:colOff>
      <xdr:row>6</xdr:row>
      <xdr:rowOff>69272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7213" y="790608"/>
          <a:ext cx="8119020" cy="41893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XÁC</a:t>
          </a:r>
          <a:r>
            <a:rPr lang="en-US" sz="1400" b="1" baseline="0"/>
            <a:t> NHẬN GIÁ TRỊ SỬ DỤNG PHƯƠNG PHÁP ĐỊNH TÍNH</a:t>
          </a:r>
          <a:endParaRPr lang="en-US" sz="1400" b="1"/>
        </a:p>
      </xdr:txBody>
    </xdr:sp>
    <xdr:clientData/>
  </xdr:twoCellAnchor>
  <xdr:oneCellAnchor>
    <xdr:from>
      <xdr:col>16</xdr:col>
      <xdr:colOff>219075</xdr:colOff>
      <xdr:row>19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963150" y="600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67938</xdr:colOff>
      <xdr:row>7</xdr:row>
      <xdr:rowOff>34892</xdr:rowOff>
    </xdr:from>
    <xdr:to>
      <xdr:col>6</xdr:col>
      <xdr:colOff>259462</xdr:colOff>
      <xdr:row>9</xdr:row>
      <xdr:rowOff>25366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498691" y="1359516"/>
          <a:ext cx="1406900" cy="359183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ĐỘ CHÍNH</a:t>
          </a:r>
          <a:r>
            <a:rPr lang="en-US" sz="800" b="1" baseline="0"/>
            <a:t> XÁC, ĐỘ NHẠY, ĐẶC HIỆU</a:t>
          </a:r>
          <a:endParaRPr lang="en-US" sz="800" b="1"/>
        </a:p>
      </xdr:txBody>
    </xdr:sp>
    <xdr:clientData/>
  </xdr:twoCellAnchor>
  <xdr:oneCellAnchor>
    <xdr:from>
      <xdr:col>1</xdr:col>
      <xdr:colOff>0</xdr:colOff>
      <xdr:row>1</xdr:row>
      <xdr:rowOff>38100</xdr:rowOff>
    </xdr:from>
    <xdr:ext cx="7677150" cy="561976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61950" y="400050"/>
          <a:ext cx="7677150" cy="56197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1905"/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  <a:reflection blurRad="6350" stA="55000" endA="300" endPos="45500" dir="5400000" sy="-100000" algn="bl" rotWithShape="0"/>
              </a:effectLst>
            </a:rPr>
            <a:t>CÔNG</a:t>
          </a:r>
          <a:r>
            <a:rPr lang="en-US" sz="2800" b="1" cap="none" spc="0" baseline="0">
              <a:ln w="1905"/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  <a:reflection blurRad="6350" stA="55000" endA="300" endPos="45500" dir="5400000" sy="-100000" algn="bl" rotWithShape="0"/>
              </a:effectLst>
            </a:rPr>
            <a:t> CỤ XÁC NHẬN GIÁ TRỊ SỬ DỤNG PPXN</a:t>
          </a:r>
          <a:endParaRPr lang="en-US" sz="2800" b="1" cap="none" spc="0">
            <a:ln w="1905"/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twoCellAnchor>
    <xdr:from>
      <xdr:col>1</xdr:col>
      <xdr:colOff>19050</xdr:colOff>
      <xdr:row>4</xdr:row>
      <xdr:rowOff>47625</xdr:rowOff>
    </xdr:from>
    <xdr:to>
      <xdr:col>1</xdr:col>
      <xdr:colOff>352425</xdr:colOff>
      <xdr:row>6</xdr:row>
      <xdr:rowOff>11430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1314450"/>
          <a:ext cx="333375" cy="325755"/>
        </a:xfrm>
        <a:prstGeom prst="rect">
          <a:avLst/>
        </a:prstGeom>
      </xdr:spPr>
    </xdr:pic>
    <xdr:clientData/>
  </xdr:twoCellAnchor>
  <xdr:twoCellAnchor>
    <xdr:from>
      <xdr:col>4</xdr:col>
      <xdr:colOff>214601</xdr:colOff>
      <xdr:row>10</xdr:row>
      <xdr:rowOff>58072</xdr:rowOff>
    </xdr:from>
    <xdr:to>
      <xdr:col>6</xdr:col>
      <xdr:colOff>102418</xdr:colOff>
      <xdr:row>11</xdr:row>
      <xdr:rowOff>157043</xdr:rowOff>
    </xdr:to>
    <xdr:sp macro="" textlink="">
      <xdr:nvSpPr>
        <xdr:cNvPr id="28" name="Rectangle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645354" y="1935760"/>
          <a:ext cx="1103193" cy="351606"/>
        </a:xfrm>
        <a:prstGeom prst="rect">
          <a:avLst/>
        </a:prstGeom>
        <a:solidFill>
          <a:schemeClr val="accent1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HBsAg</a:t>
          </a:r>
        </a:p>
      </xdr:txBody>
    </xdr:sp>
    <xdr:clientData/>
  </xdr:twoCellAnchor>
  <xdr:twoCellAnchor>
    <xdr:from>
      <xdr:col>8</xdr:col>
      <xdr:colOff>491613</xdr:colOff>
      <xdr:row>7</xdr:row>
      <xdr:rowOff>32058</xdr:rowOff>
    </xdr:from>
    <xdr:to>
      <xdr:col>11</xdr:col>
      <xdr:colOff>44342</xdr:colOff>
      <xdr:row>9</xdr:row>
      <xdr:rowOff>22532</xdr:rowOff>
    </xdr:to>
    <xdr:sp macro="" textlink="">
      <xdr:nvSpPr>
        <xdr:cNvPr id="45" name="Rectangl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9D2E1F-3DEC-4D51-990B-E1A6F073ACA5}"/>
            </a:ext>
          </a:extLst>
        </xdr:cNvPr>
        <xdr:cNvSpPr/>
      </xdr:nvSpPr>
      <xdr:spPr>
        <a:xfrm>
          <a:off x="5353118" y="1356682"/>
          <a:ext cx="1375794" cy="359183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GIỚI</a:t>
          </a:r>
          <a:r>
            <a:rPr lang="en-US" sz="800" b="1" baseline="0"/>
            <a:t> HẠN PHÁT HIỆN (LOD)</a:t>
          </a:r>
          <a:endParaRPr lang="en-US" sz="800" b="1"/>
        </a:p>
      </xdr:txBody>
    </xdr:sp>
    <xdr:clientData/>
  </xdr:twoCellAnchor>
  <xdr:twoCellAnchor>
    <xdr:from>
      <xdr:col>9</xdr:col>
      <xdr:colOff>46087</xdr:colOff>
      <xdr:row>9</xdr:row>
      <xdr:rowOff>169504</xdr:rowOff>
    </xdr:from>
    <xdr:to>
      <xdr:col>10</xdr:col>
      <xdr:colOff>541592</xdr:colOff>
      <xdr:row>11</xdr:row>
      <xdr:rowOff>84120</xdr:rowOff>
    </xdr:to>
    <xdr:sp macro="" textlink="">
      <xdr:nvSpPr>
        <xdr:cNvPr id="24" name="Rectangle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6E90AA-B743-407B-86CB-88E0EA70D48C}"/>
            </a:ext>
          </a:extLst>
        </xdr:cNvPr>
        <xdr:cNvSpPr/>
      </xdr:nvSpPr>
      <xdr:spPr>
        <a:xfrm>
          <a:off x="5515281" y="1862837"/>
          <a:ext cx="1103193" cy="351606"/>
        </a:xfrm>
        <a:prstGeom prst="rect">
          <a:avLst/>
        </a:prstGeom>
        <a:solidFill>
          <a:schemeClr val="accent1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HBsAg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307975</xdr:colOff>
      <xdr:row>0</xdr:row>
      <xdr:rowOff>168275</xdr:rowOff>
    </xdr:from>
    <xdr:to>
      <xdr:col>9</xdr:col>
      <xdr:colOff>60325</xdr:colOff>
      <xdr:row>2</xdr:row>
      <xdr:rowOff>177800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718425" y="168275"/>
          <a:ext cx="996950" cy="403225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TRỞ</a:t>
          </a:r>
          <a:r>
            <a:rPr lang="en-US" sz="1100" b="1" baseline="0"/>
            <a:t> VỀ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307975</xdr:colOff>
      <xdr:row>0</xdr:row>
      <xdr:rowOff>168275</xdr:rowOff>
    </xdr:from>
    <xdr:to>
      <xdr:col>9</xdr:col>
      <xdr:colOff>60325</xdr:colOff>
      <xdr:row>2</xdr:row>
      <xdr:rowOff>177800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1251DA-DC27-41B0-9250-2695AF475FB6}"/>
            </a:ext>
          </a:extLst>
        </xdr:cNvPr>
        <xdr:cNvSpPr/>
      </xdr:nvSpPr>
      <xdr:spPr>
        <a:xfrm>
          <a:off x="6143625" y="168275"/>
          <a:ext cx="996950" cy="403225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TRỞ</a:t>
          </a:r>
          <a:r>
            <a:rPr lang="en-US" sz="1100" b="1" baseline="0"/>
            <a:t> VỀ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4.QU&#7842;N%20L&#221;%20H&#211;A%20CH&#7844;T\H2-ACCOUNT-2.1.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DLNX"/>
      <sheetName val="TTDN"/>
      <sheetName val="KTCN"/>
      <sheetName val="HTPL"/>
      <sheetName val="HTCB"/>
      <sheetName val="NXT"/>
      <sheetName val="SC"/>
      <sheetName val="CPTH"/>
      <sheetName val="CNTH"/>
      <sheetName val="NKC"/>
      <sheetName val="SCTC"/>
      <sheetName val="CPCT"/>
      <sheetName val="SQTM"/>
      <sheetName val="STGNH"/>
      <sheetName val="VLSPHH"/>
      <sheetName val="THEKHO"/>
      <sheetName val="CNCT"/>
      <sheetName val="PTC"/>
      <sheetName val="PNXK"/>
      <sheetName val="PKT"/>
      <sheetName val="BKPBCP"/>
      <sheetName val="PBCP"/>
      <sheetName val="BKTSCD"/>
      <sheetName val="TSCD"/>
      <sheetName val="NKBH"/>
      <sheetName val="NKMH"/>
      <sheetName val="NKTT"/>
      <sheetName val="NKCT"/>
      <sheetName val="CPQLDN"/>
      <sheetName val="BCDTK"/>
      <sheetName val="BCDKT"/>
      <sheetName val="KQKD"/>
      <sheetName val="LCTT"/>
      <sheetName val="TTTDN"/>
      <sheetName val="TNDN"/>
      <sheetName val="PLTK"/>
      <sheetName val="TMBCTC"/>
      <sheetName val="TNCN"/>
      <sheetName val="About"/>
      <sheetName val="SETTING"/>
      <sheetName val="KTL"/>
      <sheetName val="KTT"/>
      <sheetName val="TTTL"/>
      <sheetName val="TBH"/>
      <sheetName val="TTNCN"/>
      <sheetName val="TKVAT"/>
      <sheetName val="VATM"/>
      <sheetName val="VATB"/>
      <sheetName val="DSNV"/>
      <sheetName val="BCC"/>
      <sheetName val="BPC"/>
      <sheetName val="BKKT"/>
      <sheetName val="BTTL"/>
      <sheetName val="PTL"/>
      <sheetName val="BIAN"/>
      <sheetName val="BIAT"/>
      <sheetName val="KTK"/>
      <sheetName val="TEMP"/>
    </sheetNames>
    <sheetDataSet>
      <sheetData sheetId="0">
        <row r="16">
          <cell r="C16" t="str">
            <v>PT01</v>
          </cell>
          <cell r="E16" t="str">
            <v>Võ kinh doanh góp vốn VNĐ</v>
          </cell>
          <cell r="F16">
            <v>1111</v>
          </cell>
          <cell r="G16">
            <v>4111</v>
          </cell>
          <cell r="H16">
            <v>5800000000</v>
          </cell>
        </row>
        <row r="17">
          <cell r="C17" t="str">
            <v>PT02</v>
          </cell>
          <cell r="E17" t="str">
            <v>Trần Dịch Vụ góp vốn VNĐ</v>
          </cell>
          <cell r="F17">
            <v>1111</v>
          </cell>
          <cell r="G17">
            <v>4111</v>
          </cell>
          <cell r="H17">
            <v>780000000</v>
          </cell>
        </row>
        <row r="18">
          <cell r="C18" t="str">
            <v>PT03</v>
          </cell>
          <cell r="E18" t="str">
            <v>Trần Dịch Vụ góp vốn USD</v>
          </cell>
          <cell r="F18">
            <v>1112</v>
          </cell>
          <cell r="G18">
            <v>4111</v>
          </cell>
          <cell r="H18">
            <v>420000000</v>
          </cell>
        </row>
        <row r="19">
          <cell r="C19" t="str">
            <v>PC01</v>
          </cell>
          <cell r="E19" t="str">
            <v>Mở tài khoản VNĐ tại ngân hàng Vietcombank</v>
          </cell>
          <cell r="F19">
            <v>11211</v>
          </cell>
          <cell r="G19">
            <v>1111</v>
          </cell>
          <cell r="H19">
            <v>1000000</v>
          </cell>
        </row>
        <row r="20">
          <cell r="C20" t="str">
            <v>PC02</v>
          </cell>
          <cell r="E20" t="str">
            <v>Mở tài khoản USD tại ngân hàng Vietcombank</v>
          </cell>
          <cell r="F20">
            <v>1122</v>
          </cell>
          <cell r="G20">
            <v>1111</v>
          </cell>
          <cell r="H20">
            <v>6300000</v>
          </cell>
        </row>
        <row r="21">
          <cell r="C21" t="str">
            <v>PC03</v>
          </cell>
          <cell r="E21" t="str">
            <v>Mua giấy in văn phòng</v>
          </cell>
          <cell r="F21">
            <v>6422</v>
          </cell>
          <cell r="G21">
            <v>1111</v>
          </cell>
          <cell r="H21">
            <v>300000</v>
          </cell>
        </row>
        <row r="22">
          <cell r="C22" t="str">
            <v>PC04</v>
          </cell>
          <cell r="E22" t="str">
            <v>Thanh toán HĐ in hóa đơn VAT</v>
          </cell>
          <cell r="F22">
            <v>6422</v>
          </cell>
          <cell r="G22">
            <v>1111</v>
          </cell>
          <cell r="H22">
            <v>900000</v>
          </cell>
        </row>
        <row r="23">
          <cell r="C23" t="str">
            <v>PC04</v>
          </cell>
          <cell r="E23" t="str">
            <v>Tiền thuế VAT HĐ in hóa đơn VAT</v>
          </cell>
          <cell r="F23">
            <v>1331</v>
          </cell>
          <cell r="G23">
            <v>1111</v>
          </cell>
          <cell r="H23">
            <v>90000</v>
          </cell>
          <cell r="Y23">
            <v>41187</v>
          </cell>
          <cell r="Z23" t="str">
            <v>MV_01</v>
          </cell>
        </row>
        <row r="24">
          <cell r="C24" t="str">
            <v>TKTMB</v>
          </cell>
          <cell r="E24" t="str">
            <v>Xác định thuế môn bài phải nộp</v>
          </cell>
          <cell r="F24">
            <v>6422</v>
          </cell>
          <cell r="G24">
            <v>3338</v>
          </cell>
          <cell r="H24">
            <v>1000000</v>
          </cell>
        </row>
        <row r="25">
          <cell r="C25" t="str">
            <v>PC05</v>
          </cell>
          <cell r="E25" t="str">
            <v>Nộp thuế môn bài</v>
          </cell>
          <cell r="F25">
            <v>3338</v>
          </cell>
          <cell r="G25">
            <v>1111</v>
          </cell>
          <cell r="H25">
            <v>1000000</v>
          </cell>
        </row>
        <row r="26">
          <cell r="C26" t="str">
            <v>PC06</v>
          </cell>
          <cell r="E26" t="str">
            <v>Trả tiền thuê nhà</v>
          </cell>
          <cell r="F26">
            <v>142</v>
          </cell>
          <cell r="G26">
            <v>1111</v>
          </cell>
          <cell r="H26">
            <v>60000000</v>
          </cell>
        </row>
        <row r="27">
          <cell r="C27" t="str">
            <v>PC07</v>
          </cell>
          <cell r="E27" t="str">
            <v>Nộp tiền vào tài khoản VNĐ tại Vietcombank</v>
          </cell>
          <cell r="F27">
            <v>11211</v>
          </cell>
          <cell r="G27">
            <v>1111</v>
          </cell>
          <cell r="H27">
            <v>5500000000</v>
          </cell>
        </row>
        <row r="28">
          <cell r="C28" t="str">
            <v>PC08</v>
          </cell>
          <cell r="E28" t="str">
            <v>Mua thiết bị văn phòng (máy tính, máy in)</v>
          </cell>
          <cell r="F28">
            <v>242</v>
          </cell>
          <cell r="G28">
            <v>1111</v>
          </cell>
          <cell r="H28">
            <v>18000000</v>
          </cell>
        </row>
        <row r="29">
          <cell r="C29" t="str">
            <v>PC08</v>
          </cell>
          <cell r="E29" t="str">
            <v>Tiền thuế VAT mua thiết bị văn phòng (MT,MI)</v>
          </cell>
          <cell r="F29">
            <v>1331</v>
          </cell>
          <cell r="G29">
            <v>1111</v>
          </cell>
          <cell r="H29">
            <v>1800000</v>
          </cell>
          <cell r="Y29">
            <v>41189</v>
          </cell>
          <cell r="Z29" t="str">
            <v>MV_01</v>
          </cell>
        </row>
        <row r="30">
          <cell r="C30" t="str">
            <v>PC09</v>
          </cell>
          <cell r="E30" t="str">
            <v>Mua thiết bị văn phòng (bàn, ghế, tủ)</v>
          </cell>
          <cell r="F30">
            <v>142</v>
          </cell>
          <cell r="G30">
            <v>1111</v>
          </cell>
          <cell r="H30">
            <v>14000000</v>
          </cell>
        </row>
        <row r="31">
          <cell r="C31" t="str">
            <v>PC09</v>
          </cell>
          <cell r="E31" t="str">
            <v>Tiền thuế VAT mua thiết bị văn phòng (B,G,T)</v>
          </cell>
          <cell r="F31">
            <v>1331</v>
          </cell>
          <cell r="G31">
            <v>1111</v>
          </cell>
          <cell r="H31">
            <v>1400000</v>
          </cell>
          <cell r="Y31">
            <v>41189</v>
          </cell>
          <cell r="Z31" t="str">
            <v>MV_01</v>
          </cell>
        </row>
        <row r="32">
          <cell r="C32" t="str">
            <v>0000066</v>
          </cell>
          <cell r="E32" t="str">
            <v>Mua máy photocopy</v>
          </cell>
          <cell r="F32">
            <v>2111</v>
          </cell>
          <cell r="G32">
            <v>331</v>
          </cell>
          <cell r="H32">
            <v>60000000</v>
          </cell>
          <cell r="J32" t="str">
            <v>STHA</v>
          </cell>
        </row>
        <row r="33">
          <cell r="C33" t="str">
            <v>0000066</v>
          </cell>
          <cell r="E33" t="str">
            <v>Thuế VAT đầu vào máy photocopy</v>
          </cell>
          <cell r="F33">
            <v>1331</v>
          </cell>
          <cell r="G33">
            <v>331</v>
          </cell>
          <cell r="H33">
            <v>6000000</v>
          </cell>
          <cell r="J33" t="str">
            <v>STHA</v>
          </cell>
          <cell r="Y33">
            <v>41189</v>
          </cell>
          <cell r="Z33" t="str">
            <v>MV_01</v>
          </cell>
        </row>
        <row r="34">
          <cell r="C34" t="str">
            <v>GBN</v>
          </cell>
          <cell r="E34" t="str">
            <v>Thanh toán tiền mua máy photocopy</v>
          </cell>
          <cell r="F34">
            <v>331</v>
          </cell>
          <cell r="G34">
            <v>11211</v>
          </cell>
          <cell r="H34">
            <v>66000000</v>
          </cell>
          <cell r="I34" t="str">
            <v>STHA</v>
          </cell>
        </row>
        <row r="35">
          <cell r="C35" t="str">
            <v>GBN</v>
          </cell>
          <cell r="E35" t="str">
            <v>Phí thanh toán tiền mua máy photocopy</v>
          </cell>
          <cell r="F35">
            <v>6422</v>
          </cell>
          <cell r="G35">
            <v>11211</v>
          </cell>
          <cell r="H35">
            <v>22000</v>
          </cell>
        </row>
        <row r="36">
          <cell r="C36" t="str">
            <v>0006688</v>
          </cell>
          <cell r="E36" t="str">
            <v>Nhập lô hàng Tivi Sony</v>
          </cell>
          <cell r="F36">
            <v>1561</v>
          </cell>
          <cell r="G36">
            <v>331</v>
          </cell>
          <cell r="H36">
            <v>1000000000</v>
          </cell>
          <cell r="J36" t="str">
            <v>SONY</v>
          </cell>
        </row>
        <row r="37">
          <cell r="C37" t="str">
            <v>0006688</v>
          </cell>
          <cell r="E37" t="str">
            <v>Thuế VAT đầu vào Tivi Sony</v>
          </cell>
          <cell r="F37">
            <v>1331</v>
          </cell>
          <cell r="G37">
            <v>331</v>
          </cell>
          <cell r="H37">
            <v>100000000</v>
          </cell>
          <cell r="J37" t="str">
            <v>SONY</v>
          </cell>
          <cell r="Y37">
            <v>41193</v>
          </cell>
          <cell r="Z37" t="str">
            <v>MV_01</v>
          </cell>
        </row>
        <row r="38">
          <cell r="C38" t="str">
            <v>0006698</v>
          </cell>
          <cell r="E38" t="str">
            <v>Nhập lô hàng Tủ lạnh LG</v>
          </cell>
          <cell r="F38">
            <v>1561</v>
          </cell>
          <cell r="G38">
            <v>331</v>
          </cell>
          <cell r="H38">
            <v>300000000</v>
          </cell>
          <cell r="J38" t="str">
            <v>SONY</v>
          </cell>
        </row>
        <row r="39">
          <cell r="C39" t="str">
            <v>0006698</v>
          </cell>
          <cell r="E39" t="str">
            <v>Thuế VAT đầu vào Tủ lạnh LG</v>
          </cell>
          <cell r="F39">
            <v>1331</v>
          </cell>
          <cell r="G39">
            <v>331</v>
          </cell>
          <cell r="H39">
            <v>30000000</v>
          </cell>
          <cell r="J39" t="str">
            <v>SONY</v>
          </cell>
          <cell r="Y39">
            <v>41195</v>
          </cell>
          <cell r="Z39" t="str">
            <v>MV_01</v>
          </cell>
        </row>
        <row r="40">
          <cell r="C40" t="str">
            <v>GBN</v>
          </cell>
          <cell r="E40" t="str">
            <v>Thanh toán tiền nhập Tivi Sony, Tủ lạnh LG</v>
          </cell>
          <cell r="F40">
            <v>331</v>
          </cell>
          <cell r="G40">
            <v>11211</v>
          </cell>
          <cell r="H40">
            <v>1430000000</v>
          </cell>
          <cell r="I40" t="str">
            <v>SONY</v>
          </cell>
        </row>
        <row r="41">
          <cell r="C41" t="str">
            <v>GBN</v>
          </cell>
          <cell r="E41" t="str">
            <v>Phí chuyển tiền thanh toán Tivi Sony, Tủ lạnh</v>
          </cell>
          <cell r="F41">
            <v>6422</v>
          </cell>
          <cell r="G41">
            <v>11211</v>
          </cell>
          <cell r="H41">
            <v>22000</v>
          </cell>
        </row>
        <row r="42">
          <cell r="C42" t="str">
            <v>GBC</v>
          </cell>
          <cell r="E42" t="str">
            <v>Nhận tiền ứng trước của công ty BĐS Vietland</v>
          </cell>
          <cell r="F42">
            <v>11211</v>
          </cell>
          <cell r="G42">
            <v>131</v>
          </cell>
          <cell r="H42">
            <v>4950000000</v>
          </cell>
          <cell r="J42" t="str">
            <v>VLAND</v>
          </cell>
        </row>
        <row r="43">
          <cell r="C43" t="str">
            <v>GBC</v>
          </cell>
          <cell r="E43" t="str">
            <v>Ngân hàng VCB trả lãi tiền gửi VNĐ</v>
          </cell>
          <cell r="F43">
            <v>11211</v>
          </cell>
          <cell r="G43">
            <v>515</v>
          </cell>
          <cell r="H43">
            <v>5998850</v>
          </cell>
        </row>
        <row r="44">
          <cell r="C44" t="str">
            <v>GBN</v>
          </cell>
          <cell r="E44" t="str">
            <v>Ứng trước cho công ty VLXD Simco</v>
          </cell>
          <cell r="F44">
            <v>331</v>
          </cell>
          <cell r="G44">
            <v>11211</v>
          </cell>
          <cell r="H44">
            <v>4818000000</v>
          </cell>
          <cell r="I44" t="str">
            <v>SIMCO</v>
          </cell>
        </row>
        <row r="45">
          <cell r="C45" t="str">
            <v>GBN</v>
          </cell>
          <cell r="E45" t="str">
            <v>Phí chuyển tiền ứng trước cho Cty VLXD Simco</v>
          </cell>
          <cell r="F45">
            <v>6422</v>
          </cell>
          <cell r="G45">
            <v>11211</v>
          </cell>
          <cell r="H45">
            <v>22000</v>
          </cell>
        </row>
        <row r="46">
          <cell r="C46" t="str">
            <v>PKT01</v>
          </cell>
          <cell r="E46" t="str">
            <v>Phân bổ chi phí trả trước ngắn hạn tháng 10</v>
          </cell>
          <cell r="F46">
            <v>6422</v>
          </cell>
          <cell r="G46">
            <v>142</v>
          </cell>
          <cell r="H46">
            <v>11700000</v>
          </cell>
        </row>
        <row r="47">
          <cell r="C47" t="str">
            <v>PKT02</v>
          </cell>
          <cell r="E47" t="str">
            <v>Phân bổ chi phí trả trước dài hạn tháng 10</v>
          </cell>
          <cell r="F47">
            <v>6422</v>
          </cell>
          <cell r="G47">
            <v>242</v>
          </cell>
          <cell r="H47">
            <v>950000</v>
          </cell>
        </row>
        <row r="48">
          <cell r="C48" t="str">
            <v>BKHTSCĐ</v>
          </cell>
          <cell r="E48" t="str">
            <v>Khấu hao TSCĐ tháng 10</v>
          </cell>
          <cell r="F48">
            <v>6422</v>
          </cell>
          <cell r="G48">
            <v>2141</v>
          </cell>
          <cell r="H48">
            <v>1000000</v>
          </cell>
        </row>
        <row r="49">
          <cell r="C49" t="str">
            <v>PKT03</v>
          </cell>
          <cell r="E49" t="str">
            <v>Tính lương bộ phận quản lý</v>
          </cell>
          <cell r="F49">
            <v>6422</v>
          </cell>
          <cell r="G49">
            <v>3341</v>
          </cell>
          <cell r="H49">
            <v>32900000</v>
          </cell>
        </row>
        <row r="50">
          <cell r="C50" t="str">
            <v>PKT04</v>
          </cell>
          <cell r="E50" t="str">
            <v>Tính lương bộ phận bán hàng</v>
          </cell>
          <cell r="F50">
            <v>6421</v>
          </cell>
          <cell r="G50">
            <v>3341</v>
          </cell>
          <cell r="H50">
            <v>4600000</v>
          </cell>
        </row>
        <row r="51">
          <cell r="C51" t="str">
            <v>PKT05</v>
          </cell>
          <cell r="E51" t="str">
            <v>Tính tiền bảo hiểm của bộ phận quản lý</v>
          </cell>
          <cell r="F51">
            <v>6422</v>
          </cell>
          <cell r="G51">
            <v>3388</v>
          </cell>
          <cell r="H51">
            <v>5670000</v>
          </cell>
        </row>
        <row r="52">
          <cell r="C52" t="str">
            <v>PKT06</v>
          </cell>
          <cell r="E52" t="str">
            <v>Tính tiền bảo hiểm của bộ phận bán hàng</v>
          </cell>
          <cell r="F52">
            <v>6421</v>
          </cell>
          <cell r="G52">
            <v>3388</v>
          </cell>
          <cell r="H52">
            <v>840000</v>
          </cell>
        </row>
        <row r="53">
          <cell r="C53" t="str">
            <v>PKT07</v>
          </cell>
          <cell r="E53" t="str">
            <v>Tiến tiền bảo hiểm phải nộp thuộc 9,5%</v>
          </cell>
          <cell r="F53">
            <v>3341</v>
          </cell>
          <cell r="G53">
            <v>3388</v>
          </cell>
          <cell r="H53">
            <v>2945000</v>
          </cell>
        </row>
        <row r="54">
          <cell r="C54" t="str">
            <v>PKT08</v>
          </cell>
          <cell r="E54" t="str">
            <v>Tính thuế thu nhập cá nhân</v>
          </cell>
          <cell r="F54">
            <v>3341</v>
          </cell>
          <cell r="G54">
            <v>3335</v>
          </cell>
          <cell r="H54">
            <v>341000</v>
          </cell>
        </row>
        <row r="55">
          <cell r="C55" t="str">
            <v>PC10</v>
          </cell>
          <cell r="E55" t="str">
            <v>Trả tiền lương CBCNV</v>
          </cell>
          <cell r="F55">
            <v>3341</v>
          </cell>
          <cell r="G55">
            <v>1111</v>
          </cell>
          <cell r="H55">
            <v>34214000</v>
          </cell>
        </row>
        <row r="56">
          <cell r="C56" t="str">
            <v>0000666</v>
          </cell>
          <cell r="E56" t="str">
            <v>Mua vật tư cho công trình A1 (Thép, cát, đá)</v>
          </cell>
          <cell r="F56">
            <v>154</v>
          </cell>
          <cell r="G56">
            <v>331</v>
          </cell>
          <cell r="H56">
            <v>2220000000</v>
          </cell>
          <cell r="J56" t="str">
            <v>SIMCO</v>
          </cell>
        </row>
        <row r="57">
          <cell r="C57" t="str">
            <v>0000666</v>
          </cell>
          <cell r="E57" t="str">
            <v>Tiền thuế VAT đầu vào cho A1 (Thép, cát, đá)</v>
          </cell>
          <cell r="F57">
            <v>1331</v>
          </cell>
          <cell r="G57">
            <v>331</v>
          </cell>
          <cell r="H57">
            <v>222000000</v>
          </cell>
          <cell r="J57" t="str">
            <v>SIMCO</v>
          </cell>
          <cell r="Y57">
            <v>41214</v>
          </cell>
          <cell r="Z57" t="str">
            <v>MV_01</v>
          </cell>
        </row>
        <row r="58">
          <cell r="C58" t="str">
            <v>0000666</v>
          </cell>
          <cell r="E58" t="str">
            <v>Mua vật tư cho công trình A2 (Thép, cát, đá)</v>
          </cell>
          <cell r="F58">
            <v>154</v>
          </cell>
          <cell r="G58">
            <v>331</v>
          </cell>
          <cell r="H58">
            <v>4440000000</v>
          </cell>
          <cell r="J58" t="str">
            <v>SIMCO</v>
          </cell>
        </row>
        <row r="59">
          <cell r="C59" t="str">
            <v>0000666</v>
          </cell>
          <cell r="E59" t="str">
            <v>Tiền thuế VAT đầu vào cho A2 (Thép, cát, đá)</v>
          </cell>
          <cell r="F59">
            <v>1331</v>
          </cell>
          <cell r="G59">
            <v>331</v>
          </cell>
          <cell r="H59">
            <v>444000000</v>
          </cell>
          <cell r="J59" t="str">
            <v>SIMCO</v>
          </cell>
          <cell r="Y59">
            <v>41214</v>
          </cell>
          <cell r="Z59" t="str">
            <v>MV_01</v>
          </cell>
        </row>
        <row r="60">
          <cell r="C60" t="str">
            <v>0000676</v>
          </cell>
          <cell r="E60" t="str">
            <v>Mua vật tư cho công trình A1 (Xi măng, gạch)</v>
          </cell>
          <cell r="F60">
            <v>154</v>
          </cell>
          <cell r="G60">
            <v>331</v>
          </cell>
          <cell r="H60">
            <v>700000000</v>
          </cell>
          <cell r="J60" t="str">
            <v>SIMCO</v>
          </cell>
        </row>
        <row r="61">
          <cell r="C61" t="str">
            <v>0000676</v>
          </cell>
          <cell r="E61" t="str">
            <v>Tiền thuế VAT đầu vào cho A1 (Xi măng, gạch)</v>
          </cell>
          <cell r="F61">
            <v>1331</v>
          </cell>
          <cell r="G61">
            <v>331</v>
          </cell>
          <cell r="H61">
            <v>70000000</v>
          </cell>
          <cell r="J61" t="str">
            <v>SIMCO</v>
          </cell>
          <cell r="Y61">
            <v>41214</v>
          </cell>
          <cell r="Z61" t="str">
            <v>MV_01</v>
          </cell>
        </row>
        <row r="62">
          <cell r="C62" t="str">
            <v>0000676</v>
          </cell>
          <cell r="E62" t="str">
            <v>Mua vật tư cho công trình A2 (Xi măng, gạch)</v>
          </cell>
          <cell r="F62">
            <v>154</v>
          </cell>
          <cell r="G62">
            <v>331</v>
          </cell>
          <cell r="H62">
            <v>1400000000</v>
          </cell>
          <cell r="J62" t="str">
            <v>SIMCO</v>
          </cell>
        </row>
        <row r="63">
          <cell r="C63" t="str">
            <v>0000676</v>
          </cell>
          <cell r="E63" t="str">
            <v>Tiền thuế VAT đầu vào cho A2 (Xi măng, gạch)</v>
          </cell>
          <cell r="F63">
            <v>1331</v>
          </cell>
          <cell r="G63">
            <v>331</v>
          </cell>
          <cell r="H63">
            <v>140000000</v>
          </cell>
          <cell r="J63" t="str">
            <v>SIMCO</v>
          </cell>
          <cell r="Y63">
            <v>41214</v>
          </cell>
          <cell r="Z63" t="str">
            <v>MV_01</v>
          </cell>
        </row>
        <row r="64">
          <cell r="C64" t="str">
            <v>GBN</v>
          </cell>
          <cell r="E64" t="str">
            <v>Rút tiền gửi mua USD mở L/C</v>
          </cell>
          <cell r="F64">
            <v>1122</v>
          </cell>
          <cell r="G64">
            <v>11211</v>
          </cell>
          <cell r="H64">
            <v>3150000000</v>
          </cell>
        </row>
        <row r="65">
          <cell r="C65" t="str">
            <v>GBN</v>
          </cell>
          <cell r="E65" t="str">
            <v>Thanh toán phí mở L/C cho công ty Sony Tokyo</v>
          </cell>
          <cell r="F65">
            <v>1562</v>
          </cell>
          <cell r="G65">
            <v>11211</v>
          </cell>
          <cell r="H65">
            <v>3973750</v>
          </cell>
        </row>
        <row r="66">
          <cell r="C66" t="str">
            <v>PC11</v>
          </cell>
          <cell r="E66" t="str">
            <v>Tạm ứng cho Hoàng Mai Lan đi công tác Hải Phòng</v>
          </cell>
          <cell r="F66">
            <v>141</v>
          </cell>
          <cell r="G66">
            <v>1111</v>
          </cell>
          <cell r="H66">
            <v>10000000</v>
          </cell>
          <cell r="I66" t="str">
            <v>HML</v>
          </cell>
        </row>
        <row r="67">
          <cell r="C67" t="str">
            <v>PC12</v>
          </cell>
          <cell r="E67" t="str">
            <v>Thanh toán tiền nước tháng 10</v>
          </cell>
          <cell r="F67">
            <v>6422</v>
          </cell>
          <cell r="G67">
            <v>1111</v>
          </cell>
          <cell r="H67">
            <v>88157</v>
          </cell>
        </row>
        <row r="68">
          <cell r="C68" t="str">
            <v>PC12</v>
          </cell>
          <cell r="E68" t="str">
            <v>Thuế VAT hóa đơn thanh toán tiền nước tháng 10</v>
          </cell>
          <cell r="F68">
            <v>1331</v>
          </cell>
          <cell r="G68">
            <v>1111</v>
          </cell>
          <cell r="H68">
            <v>3643</v>
          </cell>
          <cell r="Y68">
            <v>41223</v>
          </cell>
          <cell r="Z68" t="str">
            <v>MV_01</v>
          </cell>
        </row>
        <row r="69">
          <cell r="C69" t="str">
            <v>PC13</v>
          </cell>
          <cell r="E69" t="str">
            <v>Thanh toán tiền điện tháng 10</v>
          </cell>
          <cell r="F69">
            <v>6422</v>
          </cell>
          <cell r="G69">
            <v>1111</v>
          </cell>
          <cell r="H69">
            <v>2200000</v>
          </cell>
        </row>
        <row r="70">
          <cell r="C70" t="str">
            <v>PC13</v>
          </cell>
          <cell r="E70" t="str">
            <v>Thuế VAT hóa đơn tiền điện tháng 10</v>
          </cell>
          <cell r="F70">
            <v>1331</v>
          </cell>
          <cell r="G70">
            <v>1111</v>
          </cell>
          <cell r="H70">
            <v>220000</v>
          </cell>
          <cell r="Y70">
            <v>41223</v>
          </cell>
          <cell r="Z70" t="str">
            <v>MV_01</v>
          </cell>
        </row>
        <row r="71">
          <cell r="C71" t="str">
            <v>PC14</v>
          </cell>
          <cell r="E71" t="str">
            <v>Thanh toán tiền điện thoại tháng 10</v>
          </cell>
          <cell r="F71">
            <v>6422</v>
          </cell>
          <cell r="G71">
            <v>1111</v>
          </cell>
          <cell r="H71">
            <v>900000</v>
          </cell>
        </row>
        <row r="72">
          <cell r="C72" t="str">
            <v>PC14</v>
          </cell>
          <cell r="E72" t="str">
            <v>Thuế VAT hóa đơn tiền điện thoại tháng 10</v>
          </cell>
          <cell r="F72">
            <v>1331</v>
          </cell>
          <cell r="G72">
            <v>1111</v>
          </cell>
          <cell r="H72">
            <v>90000</v>
          </cell>
          <cell r="Y72">
            <v>41223</v>
          </cell>
          <cell r="Z72" t="str">
            <v>MV_01</v>
          </cell>
        </row>
        <row r="73">
          <cell r="C73" t="str">
            <v>PC15</v>
          </cell>
          <cell r="E73" t="str">
            <v>Thanh toán tiền cước internet tháng 10</v>
          </cell>
          <cell r="F73">
            <v>6422</v>
          </cell>
          <cell r="G73">
            <v>1111</v>
          </cell>
          <cell r="H73">
            <v>280000</v>
          </cell>
        </row>
        <row r="74">
          <cell r="C74" t="str">
            <v>PC15</v>
          </cell>
          <cell r="E74" t="str">
            <v>Thuế VAT hóa đơn tiền cước internet tháng 10</v>
          </cell>
          <cell r="F74">
            <v>1331</v>
          </cell>
          <cell r="G74">
            <v>1111</v>
          </cell>
          <cell r="H74">
            <v>28000</v>
          </cell>
          <cell r="Y74">
            <v>41223</v>
          </cell>
          <cell r="Z74" t="str">
            <v>MV_01</v>
          </cell>
        </row>
        <row r="75">
          <cell r="C75" t="str">
            <v>PC16</v>
          </cell>
          <cell r="E75" t="str">
            <v>Nộp tiền bảo hiểm tháng 10</v>
          </cell>
          <cell r="F75">
            <v>3388</v>
          </cell>
          <cell r="G75">
            <v>1111</v>
          </cell>
          <cell r="H75">
            <v>9455000</v>
          </cell>
        </row>
        <row r="76">
          <cell r="C76" t="str">
            <v>GBN</v>
          </cell>
          <cell r="E76" t="str">
            <v>Thanh toán tiền mua ti vi Sony nhập khẩu</v>
          </cell>
          <cell r="F76">
            <v>331</v>
          </cell>
          <cell r="G76">
            <v>1122</v>
          </cell>
          <cell r="H76">
            <v>3150000000</v>
          </cell>
          <cell r="I76" t="str">
            <v>SOTKO</v>
          </cell>
        </row>
        <row r="77">
          <cell r="C77" t="str">
            <v>GBN</v>
          </cell>
          <cell r="E77" t="str">
            <v>Chêch lệch tỷ giá hối đoái khi thanh toán tiền mua tivi Sony</v>
          </cell>
          <cell r="F77">
            <v>331</v>
          </cell>
          <cell r="G77">
            <v>515</v>
          </cell>
          <cell r="H77">
            <v>37500000</v>
          </cell>
          <cell r="I77" t="str">
            <v>SOTKO</v>
          </cell>
        </row>
        <row r="78">
          <cell r="C78" t="str">
            <v>GBN</v>
          </cell>
          <cell r="E78" t="str">
            <v>Phí chuyển tiền thanh toán Tivi Sony NK</v>
          </cell>
          <cell r="F78">
            <v>1562</v>
          </cell>
          <cell r="G78">
            <v>11211</v>
          </cell>
          <cell r="H78">
            <v>7129375</v>
          </cell>
        </row>
        <row r="79">
          <cell r="C79" t="str">
            <v>TKHHNK</v>
          </cell>
          <cell r="E79" t="str">
            <v>Nhận Tivi nhập khẩu tại cảng Hải Phòng</v>
          </cell>
          <cell r="F79">
            <v>1561</v>
          </cell>
          <cell r="G79">
            <v>331</v>
          </cell>
          <cell r="H79">
            <v>3187500000</v>
          </cell>
          <cell r="J79" t="str">
            <v>SOTKO</v>
          </cell>
        </row>
        <row r="80">
          <cell r="C80" t="str">
            <v>TKHHNK</v>
          </cell>
          <cell r="E80" t="str">
            <v>Thuế nhập khẩu Tivi Sony</v>
          </cell>
          <cell r="F80">
            <v>1562</v>
          </cell>
          <cell r="G80">
            <v>3333</v>
          </cell>
          <cell r="H80">
            <v>159375000</v>
          </cell>
        </row>
        <row r="81">
          <cell r="C81" t="str">
            <v>TKHHNK</v>
          </cell>
          <cell r="E81" t="str">
            <v>Thuế VAT Tivi Sony nhập khẩu</v>
          </cell>
          <cell r="F81">
            <v>1331</v>
          </cell>
          <cell r="G81">
            <v>33312</v>
          </cell>
          <cell r="H81">
            <v>334687500</v>
          </cell>
          <cell r="Y81">
            <v>41233</v>
          </cell>
          <cell r="Z81" t="str">
            <v>MV_01</v>
          </cell>
        </row>
        <row r="82">
          <cell r="C82" t="str">
            <v>GBN</v>
          </cell>
          <cell r="E82" t="str">
            <v>Nộp thuế nhập khẩu Tivi Sony</v>
          </cell>
          <cell r="F82">
            <v>3333</v>
          </cell>
          <cell r="G82">
            <v>11211</v>
          </cell>
          <cell r="H82">
            <v>159375000</v>
          </cell>
        </row>
        <row r="83">
          <cell r="C83" t="str">
            <v>GBN</v>
          </cell>
          <cell r="E83" t="str">
            <v>Nộp thuế VAT Tivi Sony nhập khẩu</v>
          </cell>
          <cell r="F83">
            <v>33312</v>
          </cell>
          <cell r="G83">
            <v>11211</v>
          </cell>
          <cell r="H83">
            <v>334687500</v>
          </cell>
        </row>
        <row r="84">
          <cell r="C84" t="str">
            <v>GBN</v>
          </cell>
          <cell r="E84" t="str">
            <v>Phí chuyển tiền nộp thuế VAT và thuế NK</v>
          </cell>
          <cell r="F84">
            <v>6422</v>
          </cell>
          <cell r="G84">
            <v>11211</v>
          </cell>
          <cell r="H84">
            <v>11000</v>
          </cell>
        </row>
        <row r="85">
          <cell r="C85" t="str">
            <v>PC17</v>
          </cell>
          <cell r="E85" t="str">
            <v>Trả tiền cước vận chuyển Tivi Sony NK về kho</v>
          </cell>
          <cell r="F85">
            <v>1562</v>
          </cell>
          <cell r="G85">
            <v>1111</v>
          </cell>
          <cell r="H85">
            <v>15000000</v>
          </cell>
        </row>
        <row r="86">
          <cell r="C86" t="str">
            <v>PC17</v>
          </cell>
          <cell r="E86" t="str">
            <v>Tiền thuế VAT cước phí vận chuyển Tivi Sony NK</v>
          </cell>
          <cell r="F86">
            <v>1331</v>
          </cell>
          <cell r="G86">
            <v>1111</v>
          </cell>
          <cell r="H86">
            <v>1500000</v>
          </cell>
          <cell r="Y86">
            <v>41234</v>
          </cell>
          <cell r="Z86" t="str">
            <v>MV_01</v>
          </cell>
        </row>
        <row r="87">
          <cell r="C87" t="str">
            <v>GBC</v>
          </cell>
          <cell r="E87" t="str">
            <v>Nhận tiền ứng trước của công ty Nadico</v>
          </cell>
          <cell r="F87">
            <v>11211</v>
          </cell>
          <cell r="G87">
            <v>131</v>
          </cell>
          <cell r="H87">
            <v>2389200000</v>
          </cell>
          <cell r="J87" t="str">
            <v>NDCVN</v>
          </cell>
        </row>
        <row r="88">
          <cell r="C88" t="str">
            <v>GBC</v>
          </cell>
          <cell r="E88" t="str">
            <v>Ngân hàng VCB trả lãi tiền gửi VNĐ tháng 11</v>
          </cell>
          <cell r="F88">
            <v>11211</v>
          </cell>
          <cell r="G88">
            <v>515</v>
          </cell>
          <cell r="H88">
            <v>3297105</v>
          </cell>
        </row>
        <row r="89">
          <cell r="C89" t="str">
            <v>GBN</v>
          </cell>
          <cell r="E89" t="str">
            <v>Ứng trước tiền mua Oto Toyota Camry 2.0</v>
          </cell>
          <cell r="F89">
            <v>331</v>
          </cell>
          <cell r="G89">
            <v>11211</v>
          </cell>
          <cell r="H89">
            <v>500000000</v>
          </cell>
          <cell r="I89" t="str">
            <v>TOYOTA</v>
          </cell>
        </row>
        <row r="90">
          <cell r="C90" t="str">
            <v>GBN</v>
          </cell>
          <cell r="E90" t="str">
            <v>Phí chuyển tiền ứng trước mua Ô tô Camry 2.0</v>
          </cell>
          <cell r="F90">
            <v>6422</v>
          </cell>
          <cell r="G90">
            <v>11211</v>
          </cell>
          <cell r="H90">
            <v>22000</v>
          </cell>
        </row>
        <row r="91">
          <cell r="C91" t="str">
            <v>0000666</v>
          </cell>
          <cell r="E91" t="str">
            <v>Thuê máy thi công xây dựng cho công trình A1</v>
          </cell>
          <cell r="F91">
            <v>154</v>
          </cell>
          <cell r="G91">
            <v>331</v>
          </cell>
          <cell r="H91">
            <v>45000000</v>
          </cell>
          <cell r="J91" t="str">
            <v>ANPHA</v>
          </cell>
        </row>
        <row r="92">
          <cell r="C92" t="str">
            <v>0000666</v>
          </cell>
          <cell r="E92" t="str">
            <v>Thuê máy thi công xây dựng cho công trình A2</v>
          </cell>
          <cell r="F92">
            <v>154</v>
          </cell>
          <cell r="G92">
            <v>331</v>
          </cell>
          <cell r="H92">
            <v>45000000</v>
          </cell>
          <cell r="J92" t="str">
            <v>ANPHA</v>
          </cell>
        </row>
        <row r="93">
          <cell r="C93" t="str">
            <v>0000666</v>
          </cell>
          <cell r="E93" t="str">
            <v>Tiền thuế VAT thuê máy thi công xây dựng</v>
          </cell>
          <cell r="F93">
            <v>1331</v>
          </cell>
          <cell r="G93">
            <v>331</v>
          </cell>
          <cell r="H93">
            <v>9000000</v>
          </cell>
          <cell r="J93" t="str">
            <v>ANPHA</v>
          </cell>
          <cell r="Y93">
            <v>41243</v>
          </cell>
          <cell r="Z93" t="str">
            <v>MV_01</v>
          </cell>
        </row>
        <row r="94">
          <cell r="C94" t="str">
            <v>0000001</v>
          </cell>
          <cell r="E94" t="str">
            <v>Bán Tủ lạnh, Tivi cho công ty Nadico</v>
          </cell>
          <cell r="F94">
            <v>131</v>
          </cell>
          <cell r="G94">
            <v>5111</v>
          </cell>
          <cell r="H94">
            <v>2715000000</v>
          </cell>
          <cell r="I94" t="str">
            <v>NDCVN</v>
          </cell>
        </row>
        <row r="95">
          <cell r="C95" t="str">
            <v>0000001</v>
          </cell>
          <cell r="E95" t="str">
            <v>Thuế VAT đầu ra của HD 0000001</v>
          </cell>
          <cell r="F95">
            <v>131</v>
          </cell>
          <cell r="G95">
            <v>33311</v>
          </cell>
          <cell r="H95">
            <v>271500000</v>
          </cell>
          <cell r="I95" t="str">
            <v>NDCVN</v>
          </cell>
          <cell r="Y95">
            <v>41243</v>
          </cell>
          <cell r="Z95" t="str">
            <v>BR_04</v>
          </cell>
        </row>
        <row r="96">
          <cell r="C96" t="str">
            <v>PXK01</v>
          </cell>
          <cell r="E96" t="str">
            <v>Xuất kho Tivi, Tủ lạnh cho công ty Nadico</v>
          </cell>
          <cell r="F96">
            <v>632</v>
          </cell>
          <cell r="G96">
            <v>1561</v>
          </cell>
          <cell r="H96">
            <v>2456489000</v>
          </cell>
        </row>
        <row r="97">
          <cell r="C97" t="str">
            <v>PKT09</v>
          </cell>
          <cell r="E97" t="str">
            <v>Phân bổ chi phí trả trước ngắn hạn tháng 11</v>
          </cell>
          <cell r="F97">
            <v>6422</v>
          </cell>
          <cell r="G97">
            <v>142</v>
          </cell>
          <cell r="H97">
            <v>11700000</v>
          </cell>
        </row>
        <row r="98">
          <cell r="C98" t="str">
            <v>PKT10</v>
          </cell>
          <cell r="E98" t="str">
            <v>Phân bổ chi phí trả trước dài hạn tháng 11</v>
          </cell>
          <cell r="F98">
            <v>6422</v>
          </cell>
          <cell r="G98">
            <v>242</v>
          </cell>
          <cell r="H98">
            <v>950000</v>
          </cell>
        </row>
        <row r="99">
          <cell r="C99" t="str">
            <v>BKHTSCĐ</v>
          </cell>
          <cell r="E99" t="str">
            <v>Khấu hao TSCĐ tháng 11</v>
          </cell>
          <cell r="F99">
            <v>6422</v>
          </cell>
          <cell r="G99">
            <v>2141</v>
          </cell>
          <cell r="H99">
            <v>1000000</v>
          </cell>
        </row>
        <row r="100">
          <cell r="C100" t="str">
            <v>PKT11</v>
          </cell>
          <cell r="E100" t="str">
            <v>Tính lương bộ phận quản lý</v>
          </cell>
          <cell r="F100">
            <v>6422</v>
          </cell>
          <cell r="G100">
            <v>3341</v>
          </cell>
          <cell r="H100">
            <v>32900000</v>
          </cell>
        </row>
        <row r="101">
          <cell r="C101" t="str">
            <v>PKT12</v>
          </cell>
          <cell r="E101" t="str">
            <v>Tính lương bộ phận bán hàng</v>
          </cell>
          <cell r="F101">
            <v>6421</v>
          </cell>
          <cell r="G101">
            <v>3341</v>
          </cell>
          <cell r="H101">
            <v>4600000</v>
          </cell>
        </row>
        <row r="102">
          <cell r="C102" t="str">
            <v>PKT13</v>
          </cell>
          <cell r="E102" t="str">
            <v>Tính lương cho công nhân xây dựng A1</v>
          </cell>
          <cell r="F102">
            <v>154</v>
          </cell>
          <cell r="G102">
            <v>3341</v>
          </cell>
          <cell r="H102">
            <v>80000000</v>
          </cell>
        </row>
        <row r="103">
          <cell r="C103" t="str">
            <v>PKT14</v>
          </cell>
          <cell r="E103" t="str">
            <v>Tính lương cho công nhân xây dựng A2</v>
          </cell>
          <cell r="F103">
            <v>154</v>
          </cell>
          <cell r="G103">
            <v>3341</v>
          </cell>
          <cell r="H103">
            <v>120000000</v>
          </cell>
        </row>
        <row r="104">
          <cell r="C104" t="str">
            <v>PKT15</v>
          </cell>
          <cell r="E104" t="str">
            <v>Tính bảo hiểm cho bộ phận quản lý</v>
          </cell>
          <cell r="F104">
            <v>6422</v>
          </cell>
          <cell r="G104">
            <v>3388</v>
          </cell>
          <cell r="H104">
            <v>5670000</v>
          </cell>
        </row>
        <row r="105">
          <cell r="C105" t="str">
            <v>PKT16</v>
          </cell>
          <cell r="E105" t="str">
            <v>Tính bảo hiểm cho bộ phận bán hàng</v>
          </cell>
          <cell r="F105">
            <v>6421</v>
          </cell>
          <cell r="G105">
            <v>3388</v>
          </cell>
          <cell r="H105">
            <v>840000</v>
          </cell>
        </row>
        <row r="106">
          <cell r="C106" t="str">
            <v>PKT17</v>
          </cell>
          <cell r="E106" t="str">
            <v>Tính bảo hiểm phải nộp thuộc 9,5%</v>
          </cell>
          <cell r="F106">
            <v>3341</v>
          </cell>
          <cell r="G106">
            <v>3388</v>
          </cell>
          <cell r="H106">
            <v>2945000</v>
          </cell>
        </row>
        <row r="107">
          <cell r="C107" t="str">
            <v>PKT18</v>
          </cell>
          <cell r="E107" t="str">
            <v>Tính thuế thu nhập cá nhân</v>
          </cell>
          <cell r="F107">
            <v>3341</v>
          </cell>
          <cell r="G107">
            <v>3335</v>
          </cell>
          <cell r="H107">
            <v>341000</v>
          </cell>
        </row>
        <row r="108">
          <cell r="C108" t="str">
            <v>PC18</v>
          </cell>
          <cell r="E108" t="str">
            <v>Trả tiền lương tháng 11</v>
          </cell>
          <cell r="F108">
            <v>3341</v>
          </cell>
          <cell r="G108">
            <v>1111</v>
          </cell>
          <cell r="H108">
            <v>234214000</v>
          </cell>
        </row>
        <row r="109">
          <cell r="C109" t="str">
            <v>BBTLTSCĐ</v>
          </cell>
          <cell r="E109" t="str">
            <v>Thanh lý máy photo RINCON</v>
          </cell>
          <cell r="F109">
            <v>811</v>
          </cell>
          <cell r="G109">
            <v>2111</v>
          </cell>
          <cell r="H109">
            <v>58000000</v>
          </cell>
        </row>
        <row r="110">
          <cell r="C110" t="str">
            <v>BBTLTSCĐ</v>
          </cell>
          <cell r="E110" t="str">
            <v>Ghi giảm khấu hao máy photo RINCON</v>
          </cell>
          <cell r="F110">
            <v>2141</v>
          </cell>
          <cell r="G110">
            <v>2111</v>
          </cell>
          <cell r="H110">
            <v>2000000</v>
          </cell>
        </row>
        <row r="111">
          <cell r="C111" t="str">
            <v>0000002</v>
          </cell>
          <cell r="E111" t="str">
            <v xml:space="preserve">Doanh thu bán máy photo RINCON </v>
          </cell>
          <cell r="F111">
            <v>131</v>
          </cell>
          <cell r="G111">
            <v>711</v>
          </cell>
          <cell r="H111">
            <v>50000000</v>
          </cell>
          <cell r="I111" t="str">
            <v>THDAT</v>
          </cell>
        </row>
        <row r="112">
          <cell r="C112" t="str">
            <v>0000002</v>
          </cell>
          <cell r="E112" t="str">
            <v>Thuế VAT đầu ra khi bán máy photo RINCON</v>
          </cell>
          <cell r="F112">
            <v>131</v>
          </cell>
          <cell r="G112">
            <v>33311</v>
          </cell>
          <cell r="H112">
            <v>5000000</v>
          </cell>
          <cell r="I112" t="str">
            <v>THDAT</v>
          </cell>
          <cell r="Y112">
            <v>41244</v>
          </cell>
          <cell r="Z112" t="str">
            <v>BR_04</v>
          </cell>
        </row>
        <row r="113">
          <cell r="C113" t="str">
            <v>PT04</v>
          </cell>
          <cell r="E113" t="str">
            <v>Hoàn ứng từ Hoàng Mai Lan sau khi đi công tác HP</v>
          </cell>
          <cell r="F113">
            <v>1111</v>
          </cell>
          <cell r="G113">
            <v>141</v>
          </cell>
          <cell r="H113">
            <v>4500000</v>
          </cell>
          <cell r="J113" t="str">
            <v>HML</v>
          </cell>
        </row>
        <row r="114">
          <cell r="C114" t="str">
            <v>GTTTƯ</v>
          </cell>
          <cell r="E114" t="str">
            <v>Chi phí thực tế phát sinh của Hoàng Mai Lan</v>
          </cell>
          <cell r="F114">
            <v>6421</v>
          </cell>
          <cell r="G114">
            <v>141</v>
          </cell>
          <cell r="H114">
            <v>5500000</v>
          </cell>
          <cell r="J114" t="str">
            <v>HML</v>
          </cell>
        </row>
        <row r="115">
          <cell r="C115" t="str">
            <v>0000981</v>
          </cell>
          <cell r="E115" t="str">
            <v>Mua Ô tô Toyota Camry 2.0</v>
          </cell>
          <cell r="F115">
            <v>2111</v>
          </cell>
          <cell r="G115">
            <v>331</v>
          </cell>
          <cell r="H115">
            <v>1200000000</v>
          </cell>
          <cell r="J115" t="str">
            <v>TOYOTA</v>
          </cell>
        </row>
        <row r="116">
          <cell r="C116" t="str">
            <v>0000981</v>
          </cell>
          <cell r="E116" t="str">
            <v>Tiền thuế VAT đầu vào khi mua Ô tô Camry 2.0</v>
          </cell>
          <cell r="F116">
            <v>1331</v>
          </cell>
          <cell r="G116">
            <v>331</v>
          </cell>
          <cell r="H116">
            <v>120000000</v>
          </cell>
          <cell r="J116" t="str">
            <v>TOYOTA</v>
          </cell>
          <cell r="Y116">
            <v>41246</v>
          </cell>
          <cell r="Z116" t="str">
            <v>MV_01</v>
          </cell>
        </row>
        <row r="117">
          <cell r="C117" t="str">
            <v>PT05</v>
          </cell>
          <cell r="E117" t="str">
            <v>Rút tiền gửi ngân hàng nhập quỹ tiền mặt</v>
          </cell>
          <cell r="F117">
            <v>1111</v>
          </cell>
          <cell r="G117">
            <v>11211</v>
          </cell>
          <cell r="H117">
            <v>1000000000</v>
          </cell>
        </row>
        <row r="118">
          <cell r="C118" t="str">
            <v>PC19</v>
          </cell>
          <cell r="E118" t="str">
            <v>Nộp tiền bảo hiểm tháng 11</v>
          </cell>
          <cell r="F118">
            <v>3388</v>
          </cell>
          <cell r="G118">
            <v>1111</v>
          </cell>
          <cell r="H118">
            <v>9455000</v>
          </cell>
        </row>
        <row r="119">
          <cell r="C119" t="str">
            <v>0005555</v>
          </cell>
          <cell r="E119" t="str">
            <v>Nadico Việt Nam trả lại Tivi bị lỗi</v>
          </cell>
          <cell r="F119">
            <v>5212</v>
          </cell>
          <cell r="G119">
            <v>131</v>
          </cell>
          <cell r="H119">
            <v>120000000</v>
          </cell>
          <cell r="J119" t="str">
            <v>NDCVN</v>
          </cell>
        </row>
        <row r="120">
          <cell r="C120" t="str">
            <v>0005555</v>
          </cell>
          <cell r="E120" t="str">
            <v>Thuế VAT hàng bị trả lại</v>
          </cell>
          <cell r="F120">
            <v>33311</v>
          </cell>
          <cell r="G120">
            <v>131</v>
          </cell>
          <cell r="H120">
            <v>12000000</v>
          </cell>
          <cell r="J120" t="str">
            <v>NDCVN</v>
          </cell>
          <cell r="Y120">
            <v>41248</v>
          </cell>
          <cell r="Z120" t="str">
            <v>MV_01</v>
          </cell>
        </row>
        <row r="121">
          <cell r="C121" t="str">
            <v>PNK04</v>
          </cell>
          <cell r="E121" t="str">
            <v>Nhập kho Tivi Sony do CT Nadico trả lại</v>
          </cell>
          <cell r="F121">
            <v>1561</v>
          </cell>
          <cell r="G121">
            <v>632</v>
          </cell>
          <cell r="H121">
            <v>109324450</v>
          </cell>
        </row>
        <row r="122">
          <cell r="C122" t="str">
            <v>GBN</v>
          </cell>
          <cell r="E122" t="str">
            <v>Trả tiền mua Ô tô Toyota Camry 2.0</v>
          </cell>
          <cell r="F122">
            <v>331</v>
          </cell>
          <cell r="G122">
            <v>11211</v>
          </cell>
          <cell r="H122">
            <v>820000000</v>
          </cell>
          <cell r="I122" t="str">
            <v>TOYOTA</v>
          </cell>
        </row>
        <row r="123">
          <cell r="C123" t="str">
            <v>GBN</v>
          </cell>
          <cell r="E123" t="str">
            <v>Phí trả tiền mua Ô tô Camry 2.0 qua VCB</v>
          </cell>
          <cell r="F123">
            <v>6422</v>
          </cell>
          <cell r="G123">
            <v>11211</v>
          </cell>
          <cell r="H123">
            <v>22000</v>
          </cell>
        </row>
        <row r="124">
          <cell r="C124" t="str">
            <v>PC20</v>
          </cell>
          <cell r="E124" t="str">
            <v>Thanh toán tiền điện tháng 11</v>
          </cell>
          <cell r="F124">
            <v>6422</v>
          </cell>
          <cell r="G124">
            <v>1111</v>
          </cell>
          <cell r="H124">
            <v>3000000</v>
          </cell>
        </row>
        <row r="125">
          <cell r="C125" t="str">
            <v>PC20</v>
          </cell>
          <cell r="E125" t="str">
            <v>Thuế VAT tiền điện tháng 11</v>
          </cell>
          <cell r="F125">
            <v>1331</v>
          </cell>
          <cell r="G125">
            <v>1111</v>
          </cell>
          <cell r="H125">
            <v>300000</v>
          </cell>
          <cell r="Y125">
            <v>41253</v>
          </cell>
          <cell r="Z125" t="str">
            <v>MV_01</v>
          </cell>
        </row>
        <row r="126">
          <cell r="C126" t="str">
            <v>PC21</v>
          </cell>
          <cell r="E126" t="str">
            <v>Thanh toán tiền nước tháng 11</v>
          </cell>
          <cell r="F126">
            <v>6422</v>
          </cell>
          <cell r="G126">
            <v>1111</v>
          </cell>
          <cell r="H126">
            <v>88157</v>
          </cell>
        </row>
        <row r="127">
          <cell r="C127" t="str">
            <v>PC21</v>
          </cell>
          <cell r="E127" t="str">
            <v>Thuế VAT tiền nước tháng 11</v>
          </cell>
          <cell r="F127">
            <v>1331</v>
          </cell>
          <cell r="G127">
            <v>1111</v>
          </cell>
          <cell r="H127">
            <v>3643</v>
          </cell>
          <cell r="Y127">
            <v>41253</v>
          </cell>
          <cell r="Z127" t="str">
            <v>MV_01</v>
          </cell>
        </row>
        <row r="128">
          <cell r="C128" t="str">
            <v>PC22</v>
          </cell>
          <cell r="E128" t="str">
            <v>Thanh toán tiền cước điện thoại tháng 11</v>
          </cell>
          <cell r="F128">
            <v>6422</v>
          </cell>
          <cell r="G128">
            <v>1111</v>
          </cell>
          <cell r="H128">
            <v>1200000</v>
          </cell>
        </row>
        <row r="129">
          <cell r="C129" t="str">
            <v>PC22</v>
          </cell>
          <cell r="E129" t="str">
            <v>Thuế VAT tiền cước điện thoại tháng 11</v>
          </cell>
          <cell r="F129">
            <v>1331</v>
          </cell>
          <cell r="G129">
            <v>1111</v>
          </cell>
          <cell r="H129">
            <v>120000</v>
          </cell>
          <cell r="Y129">
            <v>41253</v>
          </cell>
          <cell r="Z129" t="str">
            <v>MV_01</v>
          </cell>
        </row>
        <row r="130">
          <cell r="C130" t="str">
            <v>PC23</v>
          </cell>
          <cell r="E130" t="str">
            <v>Thanh toán tiền cước internet tháng 11</v>
          </cell>
          <cell r="F130">
            <v>6422</v>
          </cell>
          <cell r="G130">
            <v>1111</v>
          </cell>
          <cell r="H130">
            <v>280000</v>
          </cell>
        </row>
        <row r="131">
          <cell r="C131" t="str">
            <v>PC23</v>
          </cell>
          <cell r="E131" t="str">
            <v>Thuế VAT tiền cước internet tháng 11</v>
          </cell>
          <cell r="F131">
            <v>1331</v>
          </cell>
          <cell r="G131">
            <v>1111</v>
          </cell>
          <cell r="H131">
            <v>28000</v>
          </cell>
          <cell r="Y131">
            <v>41253</v>
          </cell>
          <cell r="Z131" t="str">
            <v>MV_01</v>
          </cell>
        </row>
        <row r="132">
          <cell r="C132" t="str">
            <v>PC24</v>
          </cell>
          <cell r="E132" t="str">
            <v>Thanh toán tiền xăng dầu tháng 11</v>
          </cell>
          <cell r="F132">
            <v>6422</v>
          </cell>
          <cell r="G132">
            <v>1111</v>
          </cell>
          <cell r="H132">
            <v>2090000</v>
          </cell>
        </row>
        <row r="133">
          <cell r="C133" t="str">
            <v>PC24</v>
          </cell>
          <cell r="E133" t="str">
            <v>Thuế VAT tiền xăng xe tháng 11</v>
          </cell>
          <cell r="F133">
            <v>1331</v>
          </cell>
          <cell r="G133">
            <v>1111</v>
          </cell>
          <cell r="H133">
            <v>209000</v>
          </cell>
          <cell r="Y133">
            <v>41253</v>
          </cell>
          <cell r="Z133" t="str">
            <v>MV_01</v>
          </cell>
        </row>
        <row r="134">
          <cell r="C134" t="str">
            <v>PC25</v>
          </cell>
          <cell r="E134" t="str">
            <v>Thanh toán tiền phí xăng dầu tháng 11</v>
          </cell>
          <cell r="F134">
            <v>6422</v>
          </cell>
          <cell r="G134">
            <v>1111</v>
          </cell>
          <cell r="H134">
            <v>55000</v>
          </cell>
        </row>
        <row r="135">
          <cell r="C135" t="str">
            <v>GBN</v>
          </cell>
          <cell r="E135" t="str">
            <v>Trả tiền thuê máy thi công tháng 11</v>
          </cell>
          <cell r="F135">
            <v>331</v>
          </cell>
          <cell r="G135">
            <v>11211</v>
          </cell>
          <cell r="H135">
            <v>99000000</v>
          </cell>
          <cell r="I135" t="str">
            <v>ANPHA</v>
          </cell>
        </row>
        <row r="136">
          <cell r="C136" t="str">
            <v>GBN</v>
          </cell>
          <cell r="E136" t="str">
            <v>Phí chuyển tiền thanh toán tiền thuế máy trên</v>
          </cell>
          <cell r="F136">
            <v>6422</v>
          </cell>
          <cell r="G136">
            <v>11211</v>
          </cell>
          <cell r="H136">
            <v>22000</v>
          </cell>
        </row>
        <row r="137">
          <cell r="C137" t="str">
            <v>GBC</v>
          </cell>
          <cell r="E137" t="str">
            <v>Ngân hàng VCB trả lãi tiền gửi VNĐ tháng 12</v>
          </cell>
          <cell r="F137">
            <v>11211</v>
          </cell>
          <cell r="G137">
            <v>515</v>
          </cell>
          <cell r="H137">
            <v>2536815</v>
          </cell>
        </row>
        <row r="138">
          <cell r="C138" t="str">
            <v>GBC</v>
          </cell>
          <cell r="E138" t="str">
            <v>Ngân hàng VCB trả lãi tiền giử USD quý 4/2012</v>
          </cell>
          <cell r="F138">
            <v>1122</v>
          </cell>
          <cell r="G138">
            <v>515</v>
          </cell>
          <cell r="H138">
            <v>231625</v>
          </cell>
        </row>
        <row r="139">
          <cell r="C139" t="str">
            <v>0000003</v>
          </cell>
          <cell r="E139" t="str">
            <v>Nghiệm thu công trình xây dựng A1</v>
          </cell>
          <cell r="F139">
            <v>131</v>
          </cell>
          <cell r="G139">
            <v>5112</v>
          </cell>
          <cell r="H139">
            <v>5000000000</v>
          </cell>
          <cell r="I139" t="str">
            <v>VLAND</v>
          </cell>
        </row>
        <row r="140">
          <cell r="C140" t="str">
            <v>0000003</v>
          </cell>
          <cell r="E140" t="str">
            <v>Thuế VAT đầu ra của công trình xây dựng A1</v>
          </cell>
          <cell r="F140">
            <v>131</v>
          </cell>
          <cell r="G140">
            <v>33311</v>
          </cell>
          <cell r="H140">
            <v>500000000</v>
          </cell>
          <cell r="I140" t="str">
            <v>VLAND</v>
          </cell>
          <cell r="Y140">
            <v>41269</v>
          </cell>
          <cell r="Z140" t="str">
            <v>BR_04</v>
          </cell>
        </row>
        <row r="141">
          <cell r="C141" t="str">
            <v>GBC</v>
          </cell>
          <cell r="E141" t="str">
            <v>Công ty BĐS Vietland trả tiền công trình A1</v>
          </cell>
          <cell r="F141">
            <v>11211</v>
          </cell>
          <cell r="G141">
            <v>131</v>
          </cell>
          <cell r="H141">
            <v>3850000000</v>
          </cell>
          <cell r="J141" t="str">
            <v>VLAND</v>
          </cell>
        </row>
        <row r="142">
          <cell r="C142" t="str">
            <v>PC26</v>
          </cell>
          <cell r="E142" t="str">
            <v>Nộp tiền phạt chậm nộp báo cáo thuế</v>
          </cell>
          <cell r="F142">
            <v>811</v>
          </cell>
          <cell r="G142">
            <v>1111</v>
          </cell>
          <cell r="H142">
            <v>1000000</v>
          </cell>
        </row>
        <row r="143">
          <cell r="C143" t="str">
            <v>0006766</v>
          </cell>
          <cell r="E143" t="str">
            <v>Thuê máy thi công xây dựng cho công trình A1</v>
          </cell>
          <cell r="F143">
            <v>154</v>
          </cell>
          <cell r="G143">
            <v>331</v>
          </cell>
          <cell r="H143">
            <v>45000000</v>
          </cell>
          <cell r="J143" t="str">
            <v>ANPHA</v>
          </cell>
        </row>
        <row r="144">
          <cell r="C144" t="str">
            <v>00006766</v>
          </cell>
          <cell r="E144" t="str">
            <v>Thuế máy thi công xây dựng cho công trình A2</v>
          </cell>
          <cell r="F144">
            <v>154</v>
          </cell>
          <cell r="G144">
            <v>331</v>
          </cell>
          <cell r="H144">
            <v>45000000</v>
          </cell>
          <cell r="J144" t="str">
            <v>ANPHA</v>
          </cell>
        </row>
        <row r="145">
          <cell r="C145" t="str">
            <v>00006766</v>
          </cell>
          <cell r="E145" t="str">
            <v>Thuế VAT đầu vào của HĐ 0006766</v>
          </cell>
          <cell r="F145">
            <v>1331</v>
          </cell>
          <cell r="G145">
            <v>331</v>
          </cell>
          <cell r="H145">
            <v>9000000</v>
          </cell>
          <cell r="J145" t="str">
            <v>ANPHA</v>
          </cell>
          <cell r="Y145">
            <v>41273</v>
          </cell>
          <cell r="Z145" t="str">
            <v>MV_01</v>
          </cell>
        </row>
        <row r="146">
          <cell r="C146" t="str">
            <v>PKT19</v>
          </cell>
          <cell r="E146" t="str">
            <v>Phân bổ chi phí trả trước ngắn hạn tháng 12</v>
          </cell>
          <cell r="F146">
            <v>6422</v>
          </cell>
          <cell r="G146">
            <v>142</v>
          </cell>
          <cell r="H146">
            <v>11700000</v>
          </cell>
        </row>
        <row r="147">
          <cell r="C147" t="str">
            <v>PKT20</v>
          </cell>
          <cell r="E147" t="str">
            <v>Phân bổ chi phí trả trước dài hạn tháng 12</v>
          </cell>
          <cell r="F147">
            <v>6422</v>
          </cell>
          <cell r="G147">
            <v>242</v>
          </cell>
          <cell r="H147">
            <v>950000</v>
          </cell>
        </row>
        <row r="148">
          <cell r="C148" t="str">
            <v>BKHTSCĐ</v>
          </cell>
          <cell r="E148" t="str">
            <v>Khấu hao TSCĐ tháng 12</v>
          </cell>
          <cell r="F148">
            <v>6422</v>
          </cell>
          <cell r="G148">
            <v>2141</v>
          </cell>
          <cell r="H148">
            <v>12500000</v>
          </cell>
        </row>
        <row r="149">
          <cell r="C149" t="str">
            <v>PKT21</v>
          </cell>
          <cell r="E149" t="str">
            <v>Tính lương bộ phận quản lý</v>
          </cell>
          <cell r="F149">
            <v>6422</v>
          </cell>
          <cell r="G149">
            <v>3341</v>
          </cell>
          <cell r="H149">
            <v>32900000</v>
          </cell>
        </row>
        <row r="150">
          <cell r="C150" t="str">
            <v>PKT22</v>
          </cell>
          <cell r="E150" t="str">
            <v>Tính lương bộ phận bán hàng</v>
          </cell>
          <cell r="F150">
            <v>6421</v>
          </cell>
          <cell r="G150">
            <v>3341</v>
          </cell>
          <cell r="H150">
            <v>4600000</v>
          </cell>
        </row>
        <row r="151">
          <cell r="C151" t="str">
            <v>PKT23</v>
          </cell>
          <cell r="E151" t="str">
            <v>Tính lương cho công nhân xây dựng A1</v>
          </cell>
          <cell r="F151">
            <v>154</v>
          </cell>
          <cell r="G151">
            <v>3341</v>
          </cell>
          <cell r="H151">
            <v>80000000</v>
          </cell>
        </row>
        <row r="152">
          <cell r="C152" t="str">
            <v>PKT24</v>
          </cell>
          <cell r="E152" t="str">
            <v>Tính lương cho công nhân xây dựng A2</v>
          </cell>
          <cell r="F152">
            <v>154</v>
          </cell>
          <cell r="G152">
            <v>3341</v>
          </cell>
          <cell r="H152">
            <v>120000000</v>
          </cell>
        </row>
        <row r="153">
          <cell r="C153" t="str">
            <v>PKT25</v>
          </cell>
          <cell r="E153" t="str">
            <v>Tính bảo hiểm cho bộ phận quản lý</v>
          </cell>
          <cell r="F153">
            <v>6422</v>
          </cell>
          <cell r="G153">
            <v>3388</v>
          </cell>
          <cell r="H153">
            <v>5670000</v>
          </cell>
        </row>
        <row r="154">
          <cell r="C154" t="str">
            <v>PKT26</v>
          </cell>
          <cell r="E154" t="str">
            <v>Tính bảo hiểm cho bộ phận bán hàng</v>
          </cell>
          <cell r="F154">
            <v>6421</v>
          </cell>
          <cell r="G154">
            <v>3388</v>
          </cell>
          <cell r="H154">
            <v>840000</v>
          </cell>
        </row>
        <row r="155">
          <cell r="C155" t="str">
            <v>PKT27</v>
          </cell>
          <cell r="E155" t="str">
            <v>Tính bảo hiểm phải nộp thuộc 9,5%</v>
          </cell>
          <cell r="F155">
            <v>3341</v>
          </cell>
          <cell r="G155">
            <v>3388</v>
          </cell>
          <cell r="H155">
            <v>2945000</v>
          </cell>
        </row>
        <row r="156">
          <cell r="C156" t="str">
            <v>PKT28</v>
          </cell>
          <cell r="E156" t="str">
            <v>Tính thuế thu nhập cá nhân</v>
          </cell>
          <cell r="F156">
            <v>3341</v>
          </cell>
          <cell r="G156">
            <v>3335</v>
          </cell>
          <cell r="H156">
            <v>341000</v>
          </cell>
        </row>
        <row r="157">
          <cell r="C157" t="str">
            <v>PC27</v>
          </cell>
          <cell r="E157" t="str">
            <v>Trả tiền lương tháng 12</v>
          </cell>
          <cell r="F157">
            <v>3341</v>
          </cell>
          <cell r="G157">
            <v>1111</v>
          </cell>
          <cell r="H157">
            <v>234214000</v>
          </cell>
        </row>
        <row r="158">
          <cell r="C158" t="str">
            <v>PKT29</v>
          </cell>
          <cell r="E158" t="str">
            <v>Tính giá vốn công trình xây dựng A1</v>
          </cell>
          <cell r="F158">
            <v>632</v>
          </cell>
          <cell r="G158">
            <v>154</v>
          </cell>
          <cell r="H158">
            <v>3170000000</v>
          </cell>
        </row>
        <row r="159">
          <cell r="C159" t="str">
            <v>PKT30</v>
          </cell>
          <cell r="E159" t="str">
            <v>Đánh giá lại ngoại tệ (tiền mặt)</v>
          </cell>
          <cell r="F159">
            <v>1112</v>
          </cell>
          <cell r="G159">
            <v>413</v>
          </cell>
          <cell r="H159">
            <v>10000000</v>
          </cell>
        </row>
        <row r="160">
          <cell r="C160" t="str">
            <v>PKT31</v>
          </cell>
          <cell r="E160" t="str">
            <v>Đánh giá lại ngoại tệ (tiền gửi)</v>
          </cell>
          <cell r="F160">
            <v>1122</v>
          </cell>
          <cell r="G160">
            <v>413</v>
          </cell>
          <cell r="H160">
            <v>152725</v>
          </cell>
        </row>
        <row r="161">
          <cell r="C161" t="str">
            <v>PKT32</v>
          </cell>
          <cell r="E161" t="str">
            <v>Kết chuyển chêch lệch tỷ giá</v>
          </cell>
          <cell r="F161">
            <v>413</v>
          </cell>
          <cell r="G161">
            <v>515</v>
          </cell>
          <cell r="H161">
            <v>10152725</v>
          </cell>
        </row>
        <row r="162">
          <cell r="C162" t="str">
            <v>PKT33</v>
          </cell>
          <cell r="E162" t="str">
            <v>Kết chuyển giảm trừ doanh thu bán hàng hóa</v>
          </cell>
          <cell r="F162">
            <v>5111</v>
          </cell>
          <cell r="G162">
            <v>5212</v>
          </cell>
          <cell r="H162">
            <v>120000000</v>
          </cell>
        </row>
        <row r="163">
          <cell r="C163" t="str">
            <v>PKT34</v>
          </cell>
          <cell r="E163" t="str">
            <v>Kết chuyển thuế VAT</v>
          </cell>
          <cell r="F163">
            <v>33311</v>
          </cell>
          <cell r="G163">
            <v>1331</v>
          </cell>
          <cell r="H163">
            <v>764500000</v>
          </cell>
        </row>
        <row r="170">
          <cell r="E170" t="str">
            <v xml:space="preserve"> </v>
          </cell>
        </row>
        <row r="501">
          <cell r="C501" t="str">
            <v>PKT1</v>
          </cell>
          <cell r="E501" t="str">
            <v>Kết chuyển doanh thu bán hàng</v>
          </cell>
          <cell r="F501">
            <v>5111</v>
          </cell>
          <cell r="G501">
            <v>911</v>
          </cell>
          <cell r="H501">
            <v>2595000000</v>
          </cell>
        </row>
        <row r="502">
          <cell r="C502" t="str">
            <v>PKT2</v>
          </cell>
          <cell r="E502" t="str">
            <v>Kết chuyển doanh thu bán thành phẩm</v>
          </cell>
          <cell r="F502">
            <v>5112</v>
          </cell>
          <cell r="G502">
            <v>911</v>
          </cell>
          <cell r="H502">
            <v>5000000000</v>
          </cell>
        </row>
        <row r="503">
          <cell r="C503" t="str">
            <v>PKT3</v>
          </cell>
          <cell r="E503" t="str">
            <v>Kết chuyển doanh thu cung cấp dịch vụ</v>
          </cell>
          <cell r="F503">
            <v>5113</v>
          </cell>
          <cell r="G503">
            <v>911</v>
          </cell>
          <cell r="H503">
            <v>0</v>
          </cell>
        </row>
        <row r="504">
          <cell r="C504" t="str">
            <v>PKT4</v>
          </cell>
          <cell r="E504" t="str">
            <v>Kết chuyển doanh thu khác</v>
          </cell>
          <cell r="F504">
            <v>5118</v>
          </cell>
          <cell r="G504">
            <v>911</v>
          </cell>
          <cell r="H504">
            <v>0</v>
          </cell>
        </row>
        <row r="505">
          <cell r="C505" t="str">
            <v>PKT5</v>
          </cell>
          <cell r="E505" t="str">
            <v>kết chuyển doanh thu từ hoạt động tài chính</v>
          </cell>
          <cell r="F505">
            <v>515</v>
          </cell>
          <cell r="G505">
            <v>911</v>
          </cell>
          <cell r="H505">
            <v>59717120</v>
          </cell>
        </row>
        <row r="506">
          <cell r="C506" t="str">
            <v>PKT6</v>
          </cell>
          <cell r="E506" t="str">
            <v>Kết chuyển thu nhập khác</v>
          </cell>
          <cell r="F506">
            <v>711</v>
          </cell>
          <cell r="G506">
            <v>911</v>
          </cell>
          <cell r="H506">
            <v>50000000</v>
          </cell>
        </row>
        <row r="507">
          <cell r="C507" t="str">
            <v>PKT7</v>
          </cell>
          <cell r="E507" t="str">
            <v>Kết chuyển giá vốn hàng bán</v>
          </cell>
          <cell r="F507">
            <v>911</v>
          </cell>
          <cell r="G507">
            <v>632</v>
          </cell>
          <cell r="H507">
            <v>5517164550</v>
          </cell>
        </row>
        <row r="508">
          <cell r="C508" t="str">
            <v>PKT8</v>
          </cell>
          <cell r="E508" t="str">
            <v>Kết chuyển chi phí tài chính lãi vay</v>
          </cell>
          <cell r="F508">
            <v>911</v>
          </cell>
          <cell r="G508">
            <v>6351</v>
          </cell>
          <cell r="H508">
            <v>0</v>
          </cell>
        </row>
        <row r="509">
          <cell r="C509" t="str">
            <v>PKT9</v>
          </cell>
          <cell r="E509" t="str">
            <v>Kết chuyển chi phí tài chính khác</v>
          </cell>
          <cell r="F509">
            <v>911</v>
          </cell>
          <cell r="G509">
            <v>6352</v>
          </cell>
          <cell r="H509">
            <v>0</v>
          </cell>
        </row>
        <row r="510">
          <cell r="C510" t="str">
            <v>PKT10</v>
          </cell>
          <cell r="E510" t="str">
            <v>Kết chuyển chi phí bán hàng</v>
          </cell>
          <cell r="F510">
            <v>911</v>
          </cell>
          <cell r="G510">
            <v>6421</v>
          </cell>
          <cell r="H510">
            <v>21820000</v>
          </cell>
        </row>
        <row r="511">
          <cell r="C511" t="str">
            <v>PKT11</v>
          </cell>
          <cell r="E511" t="str">
            <v>Kết chuyển chi phí quản lý doanh nghiệp</v>
          </cell>
          <cell r="F511">
            <v>911</v>
          </cell>
          <cell r="G511">
            <v>6422</v>
          </cell>
          <cell r="H511">
            <v>180684314</v>
          </cell>
        </row>
        <row r="512">
          <cell r="C512" t="str">
            <v>PKT12</v>
          </cell>
          <cell r="E512" t="str">
            <v>Kết chuyển chi phí khác</v>
          </cell>
          <cell r="F512">
            <v>911</v>
          </cell>
          <cell r="G512">
            <v>811</v>
          </cell>
          <cell r="H512">
            <v>59000000</v>
          </cell>
        </row>
        <row r="513">
          <cell r="C513" t="str">
            <v>PKT13</v>
          </cell>
          <cell r="E513" t="str">
            <v>Tính thuế Thu Nhập Doanh Nghiệp</v>
          </cell>
          <cell r="F513">
            <v>821</v>
          </cell>
          <cell r="G513">
            <v>3334</v>
          </cell>
          <cell r="H513">
            <v>481762064</v>
          </cell>
        </row>
        <row r="514">
          <cell r="C514" t="str">
            <v>PKT14</v>
          </cell>
          <cell r="E514" t="str">
            <v>Kết chuyển thuế Thu Nhập Doanh Nghiệp</v>
          </cell>
          <cell r="F514">
            <v>911</v>
          </cell>
          <cell r="G514">
            <v>821</v>
          </cell>
          <cell r="H514">
            <v>481762064</v>
          </cell>
        </row>
        <row r="515">
          <cell r="C515" t="str">
            <v>PKT15</v>
          </cell>
          <cell r="E515" t="str">
            <v>Tính lợi nhuận chưa phân phối</v>
          </cell>
          <cell r="F515">
            <v>911</v>
          </cell>
          <cell r="G515">
            <v>4212</v>
          </cell>
          <cell r="H515">
            <v>1445286192</v>
          </cell>
        </row>
        <row r="516">
          <cell r="C516" t="str">
            <v>PKT16</v>
          </cell>
          <cell r="E516" t="str">
            <v>Kết chuyển chi phí không hợp lý</v>
          </cell>
          <cell r="F516">
            <v>4212</v>
          </cell>
          <cell r="G516">
            <v>911</v>
          </cell>
          <cell r="H516">
            <v>1000000</v>
          </cell>
        </row>
      </sheetData>
      <sheetData sheetId="1">
        <row r="16">
          <cell r="C16" t="str">
            <v>N001</v>
          </cell>
          <cell r="D16">
            <v>41183</v>
          </cell>
          <cell r="E16" t="str">
            <v>Nhập tivi Sony từ công ty CP Điện Máy Sony Việt Nam</v>
          </cell>
          <cell r="F16">
            <v>156</v>
          </cell>
          <cell r="G16">
            <v>331</v>
          </cell>
          <cell r="H16" t="str">
            <v>Công ty CP Điện Máy Sony Việt Nam</v>
          </cell>
          <cell r="I16" t="str">
            <v>Công ty CP Điện Máy Sony Việt Nam</v>
          </cell>
          <cell r="J16" t="str">
            <v>Nhập hàng bán</v>
          </cell>
          <cell r="L16" t="str">
            <v>HD số 0006688</v>
          </cell>
          <cell r="M16" t="str">
            <v>Công ty</v>
          </cell>
          <cell r="N16" t="str">
            <v>Kho công ty</v>
          </cell>
          <cell r="O16" t="str">
            <v>TS42LCD</v>
          </cell>
          <cell r="P16" t="str">
            <v>TS42LCD LCD</v>
          </cell>
          <cell r="Q16" t="str">
            <v>chiec</v>
          </cell>
          <cell r="R16">
            <v>100</v>
          </cell>
          <cell r="S16">
            <v>100</v>
          </cell>
          <cell r="T16">
            <v>10000000</v>
          </cell>
          <cell r="U16">
            <v>1000000000</v>
          </cell>
          <cell r="V16" t="str">
            <v>TS42LCD</v>
          </cell>
          <cell r="W16">
            <v>0</v>
          </cell>
        </row>
        <row r="17">
          <cell r="C17" t="str">
            <v>N002</v>
          </cell>
          <cell r="D17">
            <v>41195</v>
          </cell>
          <cell r="E17" t="str">
            <v>Nhập tủ lạnh LG từ công ty CP Điên Máy Sony VN</v>
          </cell>
          <cell r="F17">
            <v>156</v>
          </cell>
          <cell r="G17">
            <v>331</v>
          </cell>
          <cell r="H17" t="str">
            <v>Công ty CP Điện Máy Sony Việt Nam</v>
          </cell>
          <cell r="I17" t="str">
            <v>Công ty CP Điện Máy Sony Việt Nam</v>
          </cell>
          <cell r="J17" t="str">
            <v>Nhập hàng bán</v>
          </cell>
          <cell r="L17" t="str">
            <v>HD số 0006698</v>
          </cell>
          <cell r="M17" t="str">
            <v>Công ty</v>
          </cell>
          <cell r="N17" t="str">
            <v>Kho công ty</v>
          </cell>
          <cell r="O17" t="str">
            <v>TLG100L</v>
          </cell>
          <cell r="P17" t="str">
            <v>TLG100L 100L</v>
          </cell>
          <cell r="Q17" t="str">
            <v>chiec</v>
          </cell>
          <cell r="R17">
            <v>100</v>
          </cell>
          <cell r="S17">
            <v>100</v>
          </cell>
          <cell r="T17">
            <v>3000000</v>
          </cell>
          <cell r="U17">
            <v>300000000</v>
          </cell>
          <cell r="V17" t="str">
            <v>TLG100L</v>
          </cell>
          <cell r="W17">
            <v>0</v>
          </cell>
        </row>
        <row r="18">
          <cell r="C18" t="str">
            <v>N003</v>
          </cell>
          <cell r="D18">
            <v>41235</v>
          </cell>
          <cell r="E18" t="str">
            <v>Nhập tivi Sony từ Sony Tokyo</v>
          </cell>
          <cell r="F18">
            <v>156</v>
          </cell>
          <cell r="G18">
            <v>331</v>
          </cell>
          <cell r="H18" t="str">
            <v>Công ty CP Giao Nhận Quốc Tế Tân Cả Lợi</v>
          </cell>
          <cell r="I18" t="str">
            <v>Công ty Sony Tokyo</v>
          </cell>
          <cell r="J18" t="str">
            <v>Nhập hàng bán</v>
          </cell>
          <cell r="L18" t="str">
            <v>HD số 0005555</v>
          </cell>
          <cell r="M18" t="str">
            <v>Công ty</v>
          </cell>
          <cell r="N18" t="str">
            <v>Kho công ty</v>
          </cell>
          <cell r="O18" t="str">
            <v>TS42LCD</v>
          </cell>
          <cell r="P18" t="str">
            <v>TS42LCD LCD</v>
          </cell>
          <cell r="Q18" t="str">
            <v>chiec</v>
          </cell>
          <cell r="R18">
            <v>300</v>
          </cell>
          <cell r="S18">
            <v>300</v>
          </cell>
          <cell r="T18">
            <v>11243260</v>
          </cell>
          <cell r="U18">
            <v>3372978000</v>
          </cell>
          <cell r="V18" t="str">
            <v>TS42LCD</v>
          </cell>
          <cell r="W18">
            <v>0</v>
          </cell>
        </row>
        <row r="19">
          <cell r="C19" t="str">
            <v>X001</v>
          </cell>
          <cell r="D19">
            <v>41243</v>
          </cell>
          <cell r="E19" t="str">
            <v>Xuất bán tivi Sony cho công ty Nadico</v>
          </cell>
          <cell r="F19">
            <v>632</v>
          </cell>
          <cell r="G19">
            <v>156</v>
          </cell>
          <cell r="H19" t="str">
            <v>Công ty Nadico Việt Nam</v>
          </cell>
          <cell r="I19" t="str">
            <v>Công ty Nadico Việt Nam</v>
          </cell>
          <cell r="J19" t="str">
            <v>Xuất hàng bán</v>
          </cell>
          <cell r="K19" t="str">
            <v>55-Hàng Bài - Hoàn Kiếm - HN</v>
          </cell>
          <cell r="L19" t="str">
            <v>HD số 0000001</v>
          </cell>
          <cell r="M19" t="str">
            <v>Công ty</v>
          </cell>
          <cell r="N19" t="str">
            <v>Kho công ty</v>
          </cell>
          <cell r="O19" t="str">
            <v>TS42LCD</v>
          </cell>
          <cell r="P19" t="str">
            <v>TS42LCD LCD</v>
          </cell>
          <cell r="Q19" t="str">
            <v>chiec</v>
          </cell>
          <cell r="R19">
            <v>200</v>
          </cell>
          <cell r="S19">
            <v>200</v>
          </cell>
          <cell r="T19">
            <v>10932445</v>
          </cell>
          <cell r="U19">
            <v>2186489000</v>
          </cell>
          <cell r="V19">
            <v>0</v>
          </cell>
          <cell r="W19" t="str">
            <v>TS42LCD</v>
          </cell>
        </row>
        <row r="20">
          <cell r="C20" t="str">
            <v>X001</v>
          </cell>
          <cell r="D20">
            <v>41243</v>
          </cell>
          <cell r="E20" t="str">
            <v>Xuất bán tủ lạnh LG cho công ty Nadico</v>
          </cell>
          <cell r="F20">
            <v>632</v>
          </cell>
          <cell r="G20">
            <v>156</v>
          </cell>
          <cell r="H20" t="str">
            <v>Công ty Nadico Việt Nam</v>
          </cell>
          <cell r="I20" t="str">
            <v>Công ty Nadico Việt Nam</v>
          </cell>
          <cell r="J20" t="str">
            <v>Xuất hàng bán</v>
          </cell>
          <cell r="K20" t="str">
            <v>55-Hàng Bài - Hoàn Kiếm - HN</v>
          </cell>
          <cell r="L20" t="str">
            <v>HD số 0000001</v>
          </cell>
          <cell r="M20" t="str">
            <v>Công ty</v>
          </cell>
          <cell r="N20" t="str">
            <v>Kho công ty</v>
          </cell>
          <cell r="O20" t="str">
            <v>TLG100L</v>
          </cell>
          <cell r="P20" t="str">
            <v>TLG100L 100L</v>
          </cell>
          <cell r="Q20" t="str">
            <v>chiec</v>
          </cell>
          <cell r="R20">
            <v>90</v>
          </cell>
          <cell r="S20">
            <v>90</v>
          </cell>
          <cell r="T20">
            <v>3000000</v>
          </cell>
          <cell r="U20">
            <v>270000000</v>
          </cell>
          <cell r="V20">
            <v>0</v>
          </cell>
          <cell r="W20" t="str">
            <v>TLG100L</v>
          </cell>
        </row>
        <row r="21">
          <cell r="C21" t="str">
            <v>X004</v>
          </cell>
          <cell r="D21">
            <v>41248</v>
          </cell>
          <cell r="E21" t="str">
            <v>Nhập kho ti vi Sony do công ty Nadico trả lại</v>
          </cell>
          <cell r="F21">
            <v>156</v>
          </cell>
          <cell r="G21">
            <v>632</v>
          </cell>
          <cell r="H21" t="str">
            <v>Công ty Nadico Việt Nam</v>
          </cell>
          <cell r="I21" t="str">
            <v>Công ty Nadico Việt Nam</v>
          </cell>
          <cell r="J21" t="str">
            <v>KH trả lại</v>
          </cell>
          <cell r="K21" t="str">
            <v>55-Hàng Bài - Hoàn Kiếm - HN</v>
          </cell>
          <cell r="L21" t="str">
            <v>HD số 0005555</v>
          </cell>
          <cell r="M21" t="str">
            <v>Công ty</v>
          </cell>
          <cell r="N21" t="str">
            <v>Kho công ty</v>
          </cell>
          <cell r="O21" t="str">
            <v>TS42LCD</v>
          </cell>
          <cell r="P21" t="str">
            <v>TS42LCD LCD</v>
          </cell>
          <cell r="Q21" t="str">
            <v>chiec</v>
          </cell>
          <cell r="R21">
            <v>9</v>
          </cell>
          <cell r="S21">
            <v>9</v>
          </cell>
          <cell r="T21">
            <v>10932445</v>
          </cell>
          <cell r="U21">
            <v>98392005</v>
          </cell>
          <cell r="V21">
            <v>0</v>
          </cell>
          <cell r="W21" t="str">
            <v>TS42LCD</v>
          </cell>
        </row>
        <row r="22">
          <cell r="C22" t="str">
            <v>X004</v>
          </cell>
          <cell r="D22">
            <v>41248</v>
          </cell>
          <cell r="E22" t="str">
            <v>Nhập kho ti vi Sony do công ty Nadico trả lại</v>
          </cell>
          <cell r="F22">
            <v>156</v>
          </cell>
          <cell r="G22">
            <v>632</v>
          </cell>
          <cell r="H22" t="str">
            <v>Công ty Nadico Việt Nam</v>
          </cell>
          <cell r="I22" t="str">
            <v>Công ty Nadico Việt Nam</v>
          </cell>
          <cell r="J22" t="str">
            <v>KH trả lại</v>
          </cell>
          <cell r="K22" t="str">
            <v>55-Hàng Bài - Hoàn Kiếm - HN</v>
          </cell>
          <cell r="L22" t="str">
            <v>HD số 0005555</v>
          </cell>
          <cell r="M22" t="str">
            <v>Công ty</v>
          </cell>
          <cell r="N22" t="str">
            <v>Kho công ty</v>
          </cell>
          <cell r="O22" t="str">
            <v>TS42LCD</v>
          </cell>
          <cell r="P22" t="str">
            <v>TS42LCD LCD</v>
          </cell>
          <cell r="Q22" t="str">
            <v>chiec</v>
          </cell>
          <cell r="R22">
            <v>9</v>
          </cell>
          <cell r="S22">
            <v>9</v>
          </cell>
          <cell r="T22">
            <v>10932445</v>
          </cell>
          <cell r="U22">
            <v>98392005</v>
          </cell>
          <cell r="V22">
            <v>0</v>
          </cell>
          <cell r="W22" t="str">
            <v>TS42LCD</v>
          </cell>
        </row>
        <row r="23">
          <cell r="C23" t="str">
            <v>X004</v>
          </cell>
          <cell r="D23">
            <v>41248</v>
          </cell>
          <cell r="E23" t="str">
            <v>Nhập kho ti vi Sony do công ty Nadico trả lại</v>
          </cell>
          <cell r="F23">
            <v>156</v>
          </cell>
          <cell r="G23">
            <v>632</v>
          </cell>
          <cell r="H23" t="str">
            <v>Công ty Nadico Việt Nam</v>
          </cell>
          <cell r="I23" t="str">
            <v>Công ty Nadico Việt Nam</v>
          </cell>
          <cell r="J23" t="str">
            <v>KH trả lại</v>
          </cell>
          <cell r="K23" t="str">
            <v>55-Hàng Bài - Hoàn Kiếm - HN</v>
          </cell>
          <cell r="L23" t="str">
            <v>HD số 0005555</v>
          </cell>
          <cell r="M23" t="str">
            <v>Công ty</v>
          </cell>
          <cell r="N23" t="str">
            <v>Kho công ty</v>
          </cell>
          <cell r="O23" t="str">
            <v>TS42LCD</v>
          </cell>
          <cell r="P23" t="str">
            <v>TS42LCD LCD</v>
          </cell>
          <cell r="Q23" t="str">
            <v>chiec</v>
          </cell>
          <cell r="R23">
            <v>9</v>
          </cell>
          <cell r="S23">
            <v>9</v>
          </cell>
          <cell r="T23">
            <v>10932445</v>
          </cell>
          <cell r="U23">
            <v>98392005</v>
          </cell>
          <cell r="V23">
            <v>0</v>
          </cell>
          <cell r="W23" t="str">
            <v>TS42LCD</v>
          </cell>
        </row>
        <row r="24">
          <cell r="C24" t="str">
            <v>X004</v>
          </cell>
          <cell r="D24">
            <v>41248</v>
          </cell>
          <cell r="E24" t="str">
            <v>Nhập kho ti vi Sony do công ty Nadico trả lại</v>
          </cell>
          <cell r="F24">
            <v>156</v>
          </cell>
          <cell r="G24">
            <v>632</v>
          </cell>
          <cell r="H24" t="str">
            <v>Công ty Nadico Việt Nam</v>
          </cell>
          <cell r="I24" t="str">
            <v>Công ty Nadico Việt Nam</v>
          </cell>
          <cell r="J24" t="str">
            <v>KH trả lại</v>
          </cell>
          <cell r="K24" t="str">
            <v>55-Hàng Bài - Hoàn Kiếm - HN</v>
          </cell>
          <cell r="L24" t="str">
            <v>HD số 0005555</v>
          </cell>
          <cell r="M24" t="str">
            <v>Công ty</v>
          </cell>
          <cell r="N24" t="str">
            <v>Kho công ty</v>
          </cell>
          <cell r="O24" t="str">
            <v>TS42LCD</v>
          </cell>
          <cell r="P24" t="str">
            <v>TS42LCD LCD</v>
          </cell>
          <cell r="Q24" t="str">
            <v>chiec</v>
          </cell>
          <cell r="R24">
            <v>9</v>
          </cell>
          <cell r="S24">
            <v>9</v>
          </cell>
          <cell r="T24">
            <v>10932445</v>
          </cell>
          <cell r="U24">
            <v>98392005</v>
          </cell>
          <cell r="V24">
            <v>0</v>
          </cell>
          <cell r="W24" t="str">
            <v>TS42LCD</v>
          </cell>
        </row>
        <row r="25">
          <cell r="C25" t="str">
            <v>X004</v>
          </cell>
          <cell r="D25">
            <v>41248</v>
          </cell>
          <cell r="E25" t="str">
            <v>Nhập kho ti vi Sony do công ty Nadico trả lại</v>
          </cell>
          <cell r="F25">
            <v>156</v>
          </cell>
          <cell r="G25">
            <v>632</v>
          </cell>
          <cell r="H25" t="str">
            <v>Công ty Nadico Việt Nam</v>
          </cell>
          <cell r="I25" t="str">
            <v>Công ty Nadico Việt Nam</v>
          </cell>
          <cell r="J25" t="str">
            <v>KH trả lại</v>
          </cell>
          <cell r="K25" t="str">
            <v>55-Hàng Bài - Hoàn Kiếm - HN</v>
          </cell>
          <cell r="L25" t="str">
            <v>HD số 0005555</v>
          </cell>
          <cell r="M25" t="str">
            <v>Công ty</v>
          </cell>
          <cell r="N25" t="str">
            <v>Kho công ty</v>
          </cell>
          <cell r="O25" t="str">
            <v>TS42LCD</v>
          </cell>
          <cell r="P25" t="str">
            <v>TS42LCD LCD</v>
          </cell>
          <cell r="Q25" t="str">
            <v>chiec</v>
          </cell>
          <cell r="R25">
            <v>9</v>
          </cell>
          <cell r="S25">
            <v>9</v>
          </cell>
          <cell r="T25">
            <v>10932445</v>
          </cell>
          <cell r="U25">
            <v>98392005</v>
          </cell>
          <cell r="V25">
            <v>0</v>
          </cell>
          <cell r="W25" t="str">
            <v>TS42LCD</v>
          </cell>
        </row>
        <row r="26">
          <cell r="C26" t="str">
            <v>X004</v>
          </cell>
          <cell r="D26">
            <v>41248</v>
          </cell>
          <cell r="E26" t="str">
            <v>Nhập kho ti vi Sony do công ty Nadico trả lại</v>
          </cell>
          <cell r="F26">
            <v>156</v>
          </cell>
          <cell r="G26">
            <v>632</v>
          </cell>
          <cell r="H26" t="str">
            <v>Công ty Nadico Việt Nam</v>
          </cell>
          <cell r="I26" t="str">
            <v>Công ty Nadico Việt Nam</v>
          </cell>
          <cell r="J26" t="str">
            <v>KH trả lại</v>
          </cell>
          <cell r="K26" t="str">
            <v>55-Hàng Bài - Hoàn Kiếm - HN</v>
          </cell>
          <cell r="L26" t="str">
            <v>HD số 0005555</v>
          </cell>
          <cell r="M26" t="str">
            <v>Công ty</v>
          </cell>
          <cell r="N26" t="str">
            <v>Kho công ty</v>
          </cell>
          <cell r="O26" t="str">
            <v>TS42LCD</v>
          </cell>
          <cell r="P26" t="str">
            <v>TS42LCD LCD</v>
          </cell>
          <cell r="Q26" t="str">
            <v>chiec</v>
          </cell>
          <cell r="R26">
            <v>9</v>
          </cell>
          <cell r="S26">
            <v>9</v>
          </cell>
          <cell r="T26">
            <v>10932445</v>
          </cell>
          <cell r="U26">
            <v>98392005</v>
          </cell>
          <cell r="V26">
            <v>0</v>
          </cell>
          <cell r="W26" t="str">
            <v>TS42LCD</v>
          </cell>
        </row>
        <row r="27">
          <cell r="C27" t="str">
            <v>X004</v>
          </cell>
          <cell r="D27">
            <v>41248</v>
          </cell>
          <cell r="E27" t="str">
            <v>Nhập kho ti vi Sony do công ty Nadico trả lại</v>
          </cell>
          <cell r="F27">
            <v>156</v>
          </cell>
          <cell r="G27">
            <v>632</v>
          </cell>
          <cell r="H27" t="str">
            <v>Công ty Nadico Việt Nam</v>
          </cell>
          <cell r="I27" t="str">
            <v>Công ty Nadico Việt Nam</v>
          </cell>
          <cell r="J27" t="str">
            <v>KH trả lại</v>
          </cell>
          <cell r="K27" t="str">
            <v>55-Hàng Bài - Hoàn Kiếm - HN</v>
          </cell>
          <cell r="L27" t="str">
            <v>HD số 0005555</v>
          </cell>
          <cell r="M27" t="str">
            <v>Công ty</v>
          </cell>
          <cell r="N27" t="str">
            <v>Kho công ty</v>
          </cell>
          <cell r="O27" t="str">
            <v>TS42LCD</v>
          </cell>
          <cell r="P27" t="str">
            <v>TS42LCD LCD</v>
          </cell>
          <cell r="Q27" t="str">
            <v>chiec</v>
          </cell>
          <cell r="R27">
            <v>9</v>
          </cell>
          <cell r="S27">
            <v>9</v>
          </cell>
          <cell r="T27">
            <v>10932445</v>
          </cell>
          <cell r="U27">
            <v>98392005</v>
          </cell>
          <cell r="V27">
            <v>0</v>
          </cell>
          <cell r="W27" t="str">
            <v>TS42LCD</v>
          </cell>
        </row>
        <row r="28">
          <cell r="C28" t="str">
            <v>X004</v>
          </cell>
          <cell r="D28">
            <v>41248</v>
          </cell>
          <cell r="E28" t="str">
            <v>Nhập kho ti vi Sony do công ty Nadico trả lại</v>
          </cell>
          <cell r="F28">
            <v>156</v>
          </cell>
          <cell r="G28">
            <v>632</v>
          </cell>
          <cell r="H28" t="str">
            <v>Công ty Nadico Việt Nam</v>
          </cell>
          <cell r="I28" t="str">
            <v>Công ty Nadico Việt Nam</v>
          </cell>
          <cell r="J28" t="str">
            <v>KH trả lại</v>
          </cell>
          <cell r="K28" t="str">
            <v>55-Hàng Bài - Hoàn Kiếm - HN</v>
          </cell>
          <cell r="L28" t="str">
            <v>HD số 0005555</v>
          </cell>
          <cell r="M28" t="str">
            <v>Công ty</v>
          </cell>
          <cell r="N28" t="str">
            <v>Kho công ty</v>
          </cell>
          <cell r="O28" t="str">
            <v>TS42LCD</v>
          </cell>
          <cell r="P28" t="str">
            <v>TS42LCD LCD</v>
          </cell>
          <cell r="Q28" t="str">
            <v>chiec</v>
          </cell>
          <cell r="R28">
            <v>9</v>
          </cell>
          <cell r="S28">
            <v>9</v>
          </cell>
          <cell r="T28">
            <v>10932445</v>
          </cell>
          <cell r="U28">
            <v>98392005</v>
          </cell>
          <cell r="V28">
            <v>0</v>
          </cell>
          <cell r="W28" t="str">
            <v>TS42LCD</v>
          </cell>
        </row>
        <row r="29">
          <cell r="C29" t="str">
            <v>X004</v>
          </cell>
          <cell r="D29">
            <v>41248</v>
          </cell>
          <cell r="E29" t="str">
            <v>Nhập kho ti vi Sony do công ty Nadico trả lại</v>
          </cell>
          <cell r="F29">
            <v>156</v>
          </cell>
          <cell r="G29">
            <v>632</v>
          </cell>
          <cell r="H29" t="str">
            <v>Công ty Nadico Việt Nam</v>
          </cell>
          <cell r="I29" t="str">
            <v>Công ty Nadico Việt Nam</v>
          </cell>
          <cell r="J29" t="str">
            <v>KH trả lại</v>
          </cell>
          <cell r="K29" t="str">
            <v>55-Hàng Bài - Hoàn Kiếm - HN</v>
          </cell>
          <cell r="L29" t="str">
            <v>HD số 0005555</v>
          </cell>
          <cell r="M29" t="str">
            <v>Công ty</v>
          </cell>
          <cell r="N29" t="str">
            <v>Kho công ty</v>
          </cell>
          <cell r="O29" t="str">
            <v>TS42LCD</v>
          </cell>
          <cell r="P29" t="str">
            <v>TS42LCD LCD</v>
          </cell>
          <cell r="Q29" t="str">
            <v>chiec</v>
          </cell>
          <cell r="R29">
            <v>9</v>
          </cell>
          <cell r="S29">
            <v>9</v>
          </cell>
          <cell r="T29">
            <v>10932445</v>
          </cell>
          <cell r="U29">
            <v>98392005</v>
          </cell>
          <cell r="V29">
            <v>0</v>
          </cell>
          <cell r="W29" t="str">
            <v>TS42LCD</v>
          </cell>
        </row>
        <row r="30">
          <cell r="C30" t="str">
            <v>X004</v>
          </cell>
          <cell r="D30">
            <v>41248</v>
          </cell>
          <cell r="E30" t="str">
            <v>Nhập kho ti vi Sony do công ty Nadico trả lại</v>
          </cell>
          <cell r="F30">
            <v>156</v>
          </cell>
          <cell r="G30">
            <v>632</v>
          </cell>
          <cell r="H30" t="str">
            <v>Công ty Nadico Việt Nam</v>
          </cell>
          <cell r="I30" t="str">
            <v>Công ty Nadico Việt Nam</v>
          </cell>
          <cell r="J30" t="str">
            <v>KH trả lại</v>
          </cell>
          <cell r="K30" t="str">
            <v>55-Hàng Bài - Hoàn Kiếm - HN</v>
          </cell>
          <cell r="L30" t="str">
            <v>HD số 0005555</v>
          </cell>
          <cell r="M30" t="str">
            <v>Công ty</v>
          </cell>
          <cell r="N30" t="str">
            <v>Kho công ty</v>
          </cell>
          <cell r="O30" t="str">
            <v>TS42LCD</v>
          </cell>
          <cell r="P30" t="str">
            <v>TS42LCD LCD</v>
          </cell>
          <cell r="Q30" t="str">
            <v>chiec</v>
          </cell>
          <cell r="R30">
            <v>9</v>
          </cell>
          <cell r="S30">
            <v>9</v>
          </cell>
          <cell r="T30">
            <v>10932445</v>
          </cell>
          <cell r="U30">
            <v>98392005</v>
          </cell>
          <cell r="V30">
            <v>0</v>
          </cell>
          <cell r="W30" t="str">
            <v>TS42LCD</v>
          </cell>
        </row>
        <row r="31">
          <cell r="C31" t="str">
            <v>X004</v>
          </cell>
          <cell r="D31">
            <v>41248</v>
          </cell>
          <cell r="E31" t="str">
            <v>Nhập kho ti vi Sony do công ty Nadico trả lại</v>
          </cell>
          <cell r="F31">
            <v>156</v>
          </cell>
          <cell r="G31">
            <v>632</v>
          </cell>
          <cell r="H31" t="str">
            <v>Công ty Nadico Việt Nam</v>
          </cell>
          <cell r="I31" t="str">
            <v>Công ty Nadico Việt Nam</v>
          </cell>
          <cell r="J31" t="str">
            <v>KH trả lại</v>
          </cell>
          <cell r="K31" t="str">
            <v>55-Hàng Bài - Hoàn Kiếm - HN</v>
          </cell>
          <cell r="L31" t="str">
            <v>HD số 0005555</v>
          </cell>
          <cell r="M31" t="str">
            <v>Công ty</v>
          </cell>
          <cell r="N31" t="str">
            <v>Kho công ty</v>
          </cell>
          <cell r="O31" t="str">
            <v>TS42LCD</v>
          </cell>
          <cell r="P31" t="str">
            <v>TS42LCD LCD</v>
          </cell>
          <cell r="Q31" t="str">
            <v>chiec</v>
          </cell>
          <cell r="R31">
            <v>9</v>
          </cell>
          <cell r="S31">
            <v>9</v>
          </cell>
          <cell r="T31">
            <v>10932445</v>
          </cell>
          <cell r="U31">
            <v>98392005</v>
          </cell>
          <cell r="V31">
            <v>0</v>
          </cell>
          <cell r="W31" t="str">
            <v>TS42LCD</v>
          </cell>
        </row>
        <row r="32">
          <cell r="C32" t="str">
            <v>X004</v>
          </cell>
          <cell r="D32">
            <v>41248</v>
          </cell>
          <cell r="E32" t="str">
            <v>Nhập kho ti vi Sony do công ty Nadico trả lại</v>
          </cell>
          <cell r="F32">
            <v>156</v>
          </cell>
          <cell r="G32">
            <v>632</v>
          </cell>
          <cell r="H32" t="str">
            <v>Công ty Nadico Việt Nam</v>
          </cell>
          <cell r="I32" t="str">
            <v>Công ty Nadico Việt Nam</v>
          </cell>
          <cell r="J32" t="str">
            <v>KH trả lại</v>
          </cell>
          <cell r="K32" t="str">
            <v>55-Hàng Bài - Hoàn Kiếm - HN</v>
          </cell>
          <cell r="L32" t="str">
            <v>HD số 0005555</v>
          </cell>
          <cell r="M32" t="str">
            <v>Công ty</v>
          </cell>
          <cell r="N32" t="str">
            <v>Kho công ty</v>
          </cell>
          <cell r="O32" t="str">
            <v>TS42LCD</v>
          </cell>
          <cell r="P32" t="str">
            <v>TS42LCD LCD</v>
          </cell>
          <cell r="Q32" t="str">
            <v>chiec</v>
          </cell>
          <cell r="R32">
            <v>9</v>
          </cell>
          <cell r="S32">
            <v>9</v>
          </cell>
          <cell r="T32">
            <v>10932445</v>
          </cell>
          <cell r="U32">
            <v>98392005</v>
          </cell>
          <cell r="V32">
            <v>0</v>
          </cell>
          <cell r="W32" t="str">
            <v>TS42LCD</v>
          </cell>
        </row>
        <row r="33">
          <cell r="P33" t="str">
            <v xml:space="preserve"> </v>
          </cell>
          <cell r="Q33">
            <v>0</v>
          </cell>
          <cell r="U33">
            <v>0</v>
          </cell>
          <cell r="V33">
            <v>0</v>
          </cell>
          <cell r="W33">
            <v>0</v>
          </cell>
        </row>
        <row r="34">
          <cell r="P34" t="str">
            <v xml:space="preserve"> </v>
          </cell>
          <cell r="Q34">
            <v>0</v>
          </cell>
          <cell r="U34">
            <v>0</v>
          </cell>
          <cell r="V34">
            <v>0</v>
          </cell>
          <cell r="W34">
            <v>0</v>
          </cell>
        </row>
        <row r="35">
          <cell r="P35" t="str">
            <v xml:space="preserve"> </v>
          </cell>
          <cell r="Q35">
            <v>0</v>
          </cell>
          <cell r="U35">
            <v>0</v>
          </cell>
          <cell r="V35">
            <v>0</v>
          </cell>
          <cell r="W35">
            <v>0</v>
          </cell>
        </row>
        <row r="36">
          <cell r="P36" t="str">
            <v xml:space="preserve"> </v>
          </cell>
          <cell r="Q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P37" t="str">
            <v xml:space="preserve"> </v>
          </cell>
          <cell r="Q37">
            <v>0</v>
          </cell>
          <cell r="U37">
            <v>0</v>
          </cell>
          <cell r="V37">
            <v>0</v>
          </cell>
          <cell r="W37">
            <v>0</v>
          </cell>
        </row>
        <row r="38">
          <cell r="P38" t="str">
            <v xml:space="preserve"> </v>
          </cell>
          <cell r="Q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P39" t="str">
            <v xml:space="preserve"> </v>
          </cell>
          <cell r="Q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P40" t="str">
            <v xml:space="preserve"> </v>
          </cell>
          <cell r="Q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P41" t="str">
            <v xml:space="preserve"> </v>
          </cell>
          <cell r="Q41">
            <v>0</v>
          </cell>
          <cell r="U41">
            <v>0</v>
          </cell>
          <cell r="V41">
            <v>0</v>
          </cell>
          <cell r="W41">
            <v>0</v>
          </cell>
        </row>
        <row r="42">
          <cell r="P42" t="str">
            <v xml:space="preserve"> </v>
          </cell>
          <cell r="Q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P43" t="str">
            <v xml:space="preserve"> </v>
          </cell>
          <cell r="Q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P44" t="str">
            <v xml:space="preserve"> </v>
          </cell>
          <cell r="Q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P45" t="str">
            <v xml:space="preserve"> </v>
          </cell>
          <cell r="Q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P46" t="str">
            <v xml:space="preserve"> </v>
          </cell>
          <cell r="Q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P47" t="str">
            <v xml:space="preserve"> </v>
          </cell>
          <cell r="Q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P48" t="str">
            <v xml:space="preserve"> </v>
          </cell>
          <cell r="Q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P49" t="str">
            <v xml:space="preserve"> </v>
          </cell>
          <cell r="Q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P50" t="str">
            <v xml:space="preserve"> </v>
          </cell>
          <cell r="Q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P51" t="str">
            <v xml:space="preserve"> </v>
          </cell>
          <cell r="Q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P52" t="str">
            <v xml:space="preserve"> </v>
          </cell>
          <cell r="Q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P53" t="str">
            <v xml:space="preserve"> </v>
          </cell>
          <cell r="Q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P54" t="str">
            <v xml:space="preserve"> </v>
          </cell>
          <cell r="Q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P55" t="str">
            <v xml:space="preserve"> </v>
          </cell>
          <cell r="Q55">
            <v>0</v>
          </cell>
          <cell r="U55">
            <v>0</v>
          </cell>
          <cell r="V55">
            <v>0</v>
          </cell>
          <cell r="W55">
            <v>0</v>
          </cell>
        </row>
        <row r="56">
          <cell r="P56" t="str">
            <v xml:space="preserve"> </v>
          </cell>
          <cell r="Q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P57" t="str">
            <v xml:space="preserve"> </v>
          </cell>
          <cell r="Q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P58" t="str">
            <v xml:space="preserve"> </v>
          </cell>
          <cell r="Q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P59" t="str">
            <v xml:space="preserve"> </v>
          </cell>
          <cell r="Q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P60" t="str">
            <v xml:space="preserve"> </v>
          </cell>
          <cell r="Q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P61" t="str">
            <v xml:space="preserve"> </v>
          </cell>
          <cell r="Q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P62" t="str">
            <v xml:space="preserve"> </v>
          </cell>
          <cell r="Q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P63" t="str">
            <v xml:space="preserve"> </v>
          </cell>
          <cell r="Q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P64" t="str">
            <v xml:space="preserve"> </v>
          </cell>
          <cell r="Q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P65" t="str">
            <v xml:space="preserve"> </v>
          </cell>
          <cell r="Q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P66" t="str">
            <v xml:space="preserve"> </v>
          </cell>
          <cell r="Q66">
            <v>0</v>
          </cell>
          <cell r="U66">
            <v>0</v>
          </cell>
          <cell r="V66">
            <v>0</v>
          </cell>
          <cell r="W66">
            <v>0</v>
          </cell>
        </row>
        <row r="67">
          <cell r="P67" t="str">
            <v xml:space="preserve"> </v>
          </cell>
          <cell r="Q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P68" t="str">
            <v xml:space="preserve"> </v>
          </cell>
          <cell r="Q68">
            <v>0</v>
          </cell>
          <cell r="U68">
            <v>0</v>
          </cell>
          <cell r="V68">
            <v>0</v>
          </cell>
          <cell r="W68">
            <v>0</v>
          </cell>
        </row>
        <row r="69">
          <cell r="P69" t="str">
            <v xml:space="preserve"> </v>
          </cell>
          <cell r="Q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P70" t="str">
            <v xml:space="preserve"> </v>
          </cell>
          <cell r="Q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P71" t="str">
            <v xml:space="preserve"> </v>
          </cell>
          <cell r="Q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P72" t="str">
            <v xml:space="preserve"> </v>
          </cell>
          <cell r="Q72">
            <v>0</v>
          </cell>
          <cell r="U72">
            <v>0</v>
          </cell>
          <cell r="V72">
            <v>0</v>
          </cell>
          <cell r="W72">
            <v>0</v>
          </cell>
        </row>
        <row r="73">
          <cell r="P73" t="str">
            <v xml:space="preserve"> </v>
          </cell>
          <cell r="Q73">
            <v>0</v>
          </cell>
          <cell r="U73">
            <v>0</v>
          </cell>
          <cell r="V73">
            <v>0</v>
          </cell>
          <cell r="W73">
            <v>0</v>
          </cell>
        </row>
        <row r="74">
          <cell r="P74" t="str">
            <v xml:space="preserve"> </v>
          </cell>
          <cell r="Q74">
            <v>0</v>
          </cell>
          <cell r="U74">
            <v>0</v>
          </cell>
          <cell r="V74">
            <v>0</v>
          </cell>
          <cell r="W74">
            <v>0</v>
          </cell>
        </row>
        <row r="75">
          <cell r="P75" t="str">
            <v xml:space="preserve"> </v>
          </cell>
          <cell r="Q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P76" t="str">
            <v xml:space="preserve"> </v>
          </cell>
          <cell r="Q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P77" t="str">
            <v xml:space="preserve"> </v>
          </cell>
          <cell r="Q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P78" t="str">
            <v xml:space="preserve"> </v>
          </cell>
          <cell r="Q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P79" t="str">
            <v xml:space="preserve"> </v>
          </cell>
          <cell r="Q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P80" t="str">
            <v xml:space="preserve"> </v>
          </cell>
          <cell r="Q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P81" t="str">
            <v xml:space="preserve"> </v>
          </cell>
          <cell r="Q81">
            <v>0</v>
          </cell>
          <cell r="U81">
            <v>0</v>
          </cell>
          <cell r="V81">
            <v>0</v>
          </cell>
          <cell r="W81">
            <v>0</v>
          </cell>
        </row>
        <row r="82">
          <cell r="P82" t="str">
            <v xml:space="preserve"> </v>
          </cell>
          <cell r="Q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P83" t="str">
            <v xml:space="preserve"> </v>
          </cell>
          <cell r="Q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P84" t="str">
            <v xml:space="preserve"> </v>
          </cell>
          <cell r="Q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P85" t="str">
            <v xml:space="preserve"> </v>
          </cell>
          <cell r="Q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P86" t="str">
            <v xml:space="preserve"> </v>
          </cell>
          <cell r="Q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P87" t="str">
            <v xml:space="preserve"> </v>
          </cell>
          <cell r="Q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P88" t="str">
            <v xml:space="preserve"> </v>
          </cell>
          <cell r="Q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P89" t="str">
            <v xml:space="preserve"> </v>
          </cell>
          <cell r="Q89">
            <v>0</v>
          </cell>
          <cell r="U89">
            <v>0</v>
          </cell>
          <cell r="V89">
            <v>0</v>
          </cell>
          <cell r="W89">
            <v>0</v>
          </cell>
        </row>
        <row r="90">
          <cell r="P90" t="str">
            <v xml:space="preserve"> </v>
          </cell>
          <cell r="Q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P91" t="str">
            <v xml:space="preserve"> </v>
          </cell>
          <cell r="Q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P92" t="str">
            <v xml:space="preserve"> </v>
          </cell>
          <cell r="Q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P93" t="str">
            <v xml:space="preserve"> </v>
          </cell>
          <cell r="Q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P94" t="str">
            <v xml:space="preserve"> </v>
          </cell>
          <cell r="Q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P95" t="str">
            <v xml:space="preserve"> </v>
          </cell>
          <cell r="Q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P96" t="str">
            <v xml:space="preserve"> </v>
          </cell>
          <cell r="Q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P97" t="str">
            <v xml:space="preserve"> </v>
          </cell>
          <cell r="Q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P98" t="str">
            <v xml:space="preserve"> </v>
          </cell>
          <cell r="Q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P99" t="str">
            <v xml:space="preserve"> </v>
          </cell>
          <cell r="Q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P100" t="str">
            <v xml:space="preserve"> </v>
          </cell>
          <cell r="Q100">
            <v>0</v>
          </cell>
          <cell r="U100">
            <v>0</v>
          </cell>
          <cell r="V100">
            <v>0</v>
          </cell>
          <cell r="W100">
            <v>0</v>
          </cell>
        </row>
        <row r="101">
          <cell r="P101" t="str">
            <v xml:space="preserve"> </v>
          </cell>
          <cell r="Q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P102" t="str">
            <v xml:space="preserve"> </v>
          </cell>
          <cell r="Q102">
            <v>0</v>
          </cell>
          <cell r="U102">
            <v>0</v>
          </cell>
          <cell r="V102">
            <v>0</v>
          </cell>
          <cell r="W102">
            <v>0</v>
          </cell>
        </row>
        <row r="103">
          <cell r="P103" t="str">
            <v xml:space="preserve"> </v>
          </cell>
          <cell r="Q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P104" t="str">
            <v xml:space="preserve"> </v>
          </cell>
          <cell r="Q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P105" t="str">
            <v xml:space="preserve"> </v>
          </cell>
          <cell r="Q105">
            <v>0</v>
          </cell>
          <cell r="U105">
            <v>0</v>
          </cell>
          <cell r="V105">
            <v>0</v>
          </cell>
          <cell r="W105">
            <v>0</v>
          </cell>
        </row>
        <row r="106">
          <cell r="P106" t="str">
            <v xml:space="preserve"> </v>
          </cell>
          <cell r="Q106">
            <v>0</v>
          </cell>
          <cell r="U106">
            <v>0</v>
          </cell>
          <cell r="V106">
            <v>0</v>
          </cell>
          <cell r="W106">
            <v>0</v>
          </cell>
        </row>
        <row r="107">
          <cell r="P107" t="str">
            <v xml:space="preserve"> </v>
          </cell>
          <cell r="Q107">
            <v>0</v>
          </cell>
          <cell r="U107">
            <v>0</v>
          </cell>
          <cell r="V107">
            <v>0</v>
          </cell>
          <cell r="W107">
            <v>0</v>
          </cell>
        </row>
        <row r="108">
          <cell r="P108" t="str">
            <v xml:space="preserve"> </v>
          </cell>
          <cell r="Q108">
            <v>0</v>
          </cell>
          <cell r="U108">
            <v>0</v>
          </cell>
          <cell r="V108">
            <v>0</v>
          </cell>
          <cell r="W108">
            <v>0</v>
          </cell>
        </row>
        <row r="109">
          <cell r="P109" t="str">
            <v xml:space="preserve"> </v>
          </cell>
          <cell r="Q109">
            <v>0</v>
          </cell>
          <cell r="U109">
            <v>0</v>
          </cell>
          <cell r="V109">
            <v>0</v>
          </cell>
          <cell r="W109">
            <v>0</v>
          </cell>
        </row>
        <row r="110">
          <cell r="P110" t="str">
            <v xml:space="preserve"> </v>
          </cell>
          <cell r="Q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P111" t="str">
            <v xml:space="preserve"> </v>
          </cell>
          <cell r="Q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P112" t="str">
            <v xml:space="preserve"> </v>
          </cell>
          <cell r="Q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P113" t="str">
            <v xml:space="preserve"> </v>
          </cell>
          <cell r="Q113">
            <v>0</v>
          </cell>
          <cell r="U113">
            <v>0</v>
          </cell>
          <cell r="V113">
            <v>0</v>
          </cell>
          <cell r="W113">
            <v>0</v>
          </cell>
        </row>
        <row r="114">
          <cell r="P114" t="str">
            <v xml:space="preserve"> </v>
          </cell>
          <cell r="Q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P115" t="str">
            <v xml:space="preserve"> </v>
          </cell>
          <cell r="Q115">
            <v>0</v>
          </cell>
          <cell r="U115">
            <v>0</v>
          </cell>
          <cell r="V115">
            <v>0</v>
          </cell>
          <cell r="W115">
            <v>0</v>
          </cell>
        </row>
        <row r="116">
          <cell r="P116" t="str">
            <v xml:space="preserve"> </v>
          </cell>
          <cell r="Q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P117" t="str">
            <v xml:space="preserve"> </v>
          </cell>
          <cell r="Q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P118" t="str">
            <v xml:space="preserve"> </v>
          </cell>
          <cell r="Q118">
            <v>0</v>
          </cell>
          <cell r="U118">
            <v>0</v>
          </cell>
          <cell r="V118">
            <v>0</v>
          </cell>
          <cell r="W118">
            <v>0</v>
          </cell>
        </row>
        <row r="119">
          <cell r="P119" t="str">
            <v xml:space="preserve"> </v>
          </cell>
          <cell r="Q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P120" t="str">
            <v xml:space="preserve"> </v>
          </cell>
          <cell r="Q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P121" t="str">
            <v xml:space="preserve"> </v>
          </cell>
          <cell r="Q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P122" t="str">
            <v xml:space="preserve"> </v>
          </cell>
          <cell r="Q122">
            <v>0</v>
          </cell>
          <cell r="U122">
            <v>0</v>
          </cell>
          <cell r="V122">
            <v>0</v>
          </cell>
          <cell r="W122">
            <v>0</v>
          </cell>
        </row>
        <row r="123">
          <cell r="P123" t="str">
            <v xml:space="preserve"> </v>
          </cell>
          <cell r="Q123">
            <v>0</v>
          </cell>
          <cell r="U123">
            <v>0</v>
          </cell>
          <cell r="V123">
            <v>0</v>
          </cell>
          <cell r="W123">
            <v>0</v>
          </cell>
        </row>
        <row r="124">
          <cell r="P124" t="str">
            <v xml:space="preserve"> </v>
          </cell>
          <cell r="Q124">
            <v>0</v>
          </cell>
          <cell r="U124">
            <v>0</v>
          </cell>
          <cell r="V124">
            <v>0</v>
          </cell>
          <cell r="W124">
            <v>0</v>
          </cell>
        </row>
        <row r="125">
          <cell r="P125" t="str">
            <v xml:space="preserve"> </v>
          </cell>
          <cell r="Q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P126" t="str">
            <v xml:space="preserve"> </v>
          </cell>
          <cell r="Q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P127" t="str">
            <v xml:space="preserve"> </v>
          </cell>
          <cell r="Q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P128" t="str">
            <v xml:space="preserve"> </v>
          </cell>
          <cell r="Q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P129" t="str">
            <v xml:space="preserve"> </v>
          </cell>
          <cell r="Q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P130" t="str">
            <v xml:space="preserve"> </v>
          </cell>
          <cell r="Q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P131" t="str">
            <v xml:space="preserve"> </v>
          </cell>
          <cell r="Q131">
            <v>0</v>
          </cell>
          <cell r="U131">
            <v>0</v>
          </cell>
          <cell r="V131">
            <v>0</v>
          </cell>
          <cell r="W131">
            <v>0</v>
          </cell>
        </row>
        <row r="132">
          <cell r="P132" t="str">
            <v xml:space="preserve"> </v>
          </cell>
          <cell r="Q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P133" t="str">
            <v xml:space="preserve"> </v>
          </cell>
          <cell r="Q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P134" t="str">
            <v xml:space="preserve"> </v>
          </cell>
          <cell r="Q134">
            <v>0</v>
          </cell>
          <cell r="U134">
            <v>0</v>
          </cell>
          <cell r="V134">
            <v>0</v>
          </cell>
          <cell r="W134">
            <v>0</v>
          </cell>
        </row>
        <row r="135">
          <cell r="P135" t="str">
            <v xml:space="preserve"> </v>
          </cell>
          <cell r="Q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P136" t="str">
            <v xml:space="preserve"> </v>
          </cell>
          <cell r="Q136">
            <v>0</v>
          </cell>
          <cell r="U136">
            <v>0</v>
          </cell>
          <cell r="V136">
            <v>0</v>
          </cell>
          <cell r="W136">
            <v>0</v>
          </cell>
        </row>
        <row r="137">
          <cell r="P137" t="str">
            <v xml:space="preserve"> </v>
          </cell>
          <cell r="Q137">
            <v>0</v>
          </cell>
          <cell r="U137">
            <v>0</v>
          </cell>
          <cell r="V137">
            <v>0</v>
          </cell>
          <cell r="W137">
            <v>0</v>
          </cell>
        </row>
        <row r="138">
          <cell r="P138" t="str">
            <v xml:space="preserve"> </v>
          </cell>
          <cell r="Q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P139" t="str">
            <v xml:space="preserve"> </v>
          </cell>
          <cell r="Q139">
            <v>0</v>
          </cell>
          <cell r="U139">
            <v>0</v>
          </cell>
          <cell r="V139">
            <v>0</v>
          </cell>
          <cell r="W139">
            <v>0</v>
          </cell>
        </row>
        <row r="140">
          <cell r="P140" t="str">
            <v xml:space="preserve"> </v>
          </cell>
          <cell r="Q140">
            <v>0</v>
          </cell>
          <cell r="U140">
            <v>0</v>
          </cell>
          <cell r="V140">
            <v>0</v>
          </cell>
          <cell r="W140">
            <v>0</v>
          </cell>
        </row>
        <row r="141">
          <cell r="P141" t="str">
            <v xml:space="preserve"> </v>
          </cell>
          <cell r="Q141">
            <v>0</v>
          </cell>
          <cell r="U141">
            <v>0</v>
          </cell>
          <cell r="V141">
            <v>0</v>
          </cell>
          <cell r="W141">
            <v>0</v>
          </cell>
        </row>
        <row r="142">
          <cell r="P142" t="str">
            <v xml:space="preserve"> </v>
          </cell>
          <cell r="Q142">
            <v>0</v>
          </cell>
          <cell r="U142">
            <v>0</v>
          </cell>
          <cell r="V142">
            <v>0</v>
          </cell>
          <cell r="W142">
            <v>0</v>
          </cell>
        </row>
        <row r="143">
          <cell r="P143" t="str">
            <v xml:space="preserve"> </v>
          </cell>
          <cell r="Q143">
            <v>0</v>
          </cell>
          <cell r="U143">
            <v>0</v>
          </cell>
          <cell r="V143">
            <v>0</v>
          </cell>
          <cell r="W143">
            <v>0</v>
          </cell>
        </row>
        <row r="144">
          <cell r="P144" t="str">
            <v xml:space="preserve"> </v>
          </cell>
          <cell r="Q144">
            <v>0</v>
          </cell>
          <cell r="U144">
            <v>0</v>
          </cell>
          <cell r="V144">
            <v>0</v>
          </cell>
          <cell r="W144">
            <v>0</v>
          </cell>
        </row>
        <row r="145">
          <cell r="P145" t="str">
            <v xml:space="preserve"> </v>
          </cell>
          <cell r="Q145">
            <v>0</v>
          </cell>
          <cell r="U145">
            <v>0</v>
          </cell>
          <cell r="V145">
            <v>0</v>
          </cell>
          <cell r="W145">
            <v>0</v>
          </cell>
        </row>
        <row r="146">
          <cell r="P146" t="str">
            <v xml:space="preserve"> </v>
          </cell>
          <cell r="Q146">
            <v>0</v>
          </cell>
          <cell r="U146">
            <v>0</v>
          </cell>
          <cell r="V146">
            <v>0</v>
          </cell>
          <cell r="W146">
            <v>0</v>
          </cell>
        </row>
        <row r="147">
          <cell r="P147" t="str">
            <v xml:space="preserve"> </v>
          </cell>
          <cell r="Q147">
            <v>0</v>
          </cell>
          <cell r="U147">
            <v>0</v>
          </cell>
          <cell r="V147">
            <v>0</v>
          </cell>
          <cell r="W147">
            <v>0</v>
          </cell>
        </row>
        <row r="148">
          <cell r="P148" t="str">
            <v xml:space="preserve"> </v>
          </cell>
          <cell r="Q148">
            <v>0</v>
          </cell>
          <cell r="U148">
            <v>0</v>
          </cell>
          <cell r="V148">
            <v>0</v>
          </cell>
          <cell r="W148">
            <v>0</v>
          </cell>
        </row>
        <row r="149">
          <cell r="P149" t="str">
            <v xml:space="preserve"> </v>
          </cell>
          <cell r="Q149">
            <v>0</v>
          </cell>
          <cell r="U149">
            <v>0</v>
          </cell>
          <cell r="V149">
            <v>0</v>
          </cell>
          <cell r="W149">
            <v>0</v>
          </cell>
        </row>
        <row r="150">
          <cell r="P150" t="str">
            <v xml:space="preserve"> </v>
          </cell>
          <cell r="Q150">
            <v>0</v>
          </cell>
          <cell r="U150">
            <v>0</v>
          </cell>
          <cell r="V150">
            <v>0</v>
          </cell>
          <cell r="W150">
            <v>0</v>
          </cell>
        </row>
        <row r="151">
          <cell r="P151" t="str">
            <v xml:space="preserve"> </v>
          </cell>
          <cell r="Q151">
            <v>0</v>
          </cell>
          <cell r="U151">
            <v>0</v>
          </cell>
          <cell r="V151">
            <v>0</v>
          </cell>
          <cell r="W151">
            <v>0</v>
          </cell>
        </row>
        <row r="152">
          <cell r="P152" t="str">
            <v xml:space="preserve"> </v>
          </cell>
          <cell r="Q152">
            <v>0</v>
          </cell>
          <cell r="U152">
            <v>0</v>
          </cell>
          <cell r="V152">
            <v>0</v>
          </cell>
          <cell r="W152">
            <v>0</v>
          </cell>
        </row>
        <row r="153">
          <cell r="P153" t="str">
            <v xml:space="preserve"> </v>
          </cell>
          <cell r="Q153">
            <v>0</v>
          </cell>
          <cell r="U153">
            <v>0</v>
          </cell>
          <cell r="V153">
            <v>0</v>
          </cell>
          <cell r="W153">
            <v>0</v>
          </cell>
        </row>
        <row r="154">
          <cell r="P154" t="str">
            <v xml:space="preserve"> </v>
          </cell>
          <cell r="Q154">
            <v>0</v>
          </cell>
          <cell r="U154">
            <v>0</v>
          </cell>
          <cell r="V154">
            <v>0</v>
          </cell>
          <cell r="W154">
            <v>0</v>
          </cell>
        </row>
        <row r="155">
          <cell r="P155" t="str">
            <v xml:space="preserve"> </v>
          </cell>
          <cell r="Q155">
            <v>0</v>
          </cell>
          <cell r="U155">
            <v>0</v>
          </cell>
          <cell r="V155">
            <v>0</v>
          </cell>
          <cell r="W155">
            <v>0</v>
          </cell>
        </row>
        <row r="156">
          <cell r="P156" t="str">
            <v xml:space="preserve"> </v>
          </cell>
          <cell r="Q156">
            <v>0</v>
          </cell>
          <cell r="U156">
            <v>0</v>
          </cell>
          <cell r="V156">
            <v>0</v>
          </cell>
          <cell r="W156">
            <v>0</v>
          </cell>
        </row>
        <row r="157">
          <cell r="P157" t="str">
            <v xml:space="preserve"> </v>
          </cell>
          <cell r="Q157">
            <v>0</v>
          </cell>
          <cell r="U157">
            <v>0</v>
          </cell>
          <cell r="V157">
            <v>0</v>
          </cell>
          <cell r="W157">
            <v>0</v>
          </cell>
        </row>
        <row r="158">
          <cell r="P158" t="str">
            <v xml:space="preserve"> </v>
          </cell>
          <cell r="Q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P159" t="str">
            <v xml:space="preserve"> </v>
          </cell>
          <cell r="Q159">
            <v>0</v>
          </cell>
          <cell r="U159">
            <v>0</v>
          </cell>
          <cell r="V159">
            <v>0</v>
          </cell>
          <cell r="W159">
            <v>0</v>
          </cell>
        </row>
        <row r="160">
          <cell r="P160" t="str">
            <v xml:space="preserve"> </v>
          </cell>
          <cell r="Q160">
            <v>0</v>
          </cell>
          <cell r="U160">
            <v>0</v>
          </cell>
          <cell r="V160">
            <v>0</v>
          </cell>
          <cell r="W160">
            <v>0</v>
          </cell>
        </row>
        <row r="161">
          <cell r="P161" t="str">
            <v xml:space="preserve"> </v>
          </cell>
          <cell r="Q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P162" t="str">
            <v xml:space="preserve"> </v>
          </cell>
          <cell r="Q162">
            <v>0</v>
          </cell>
          <cell r="U162">
            <v>0</v>
          </cell>
          <cell r="V162">
            <v>0</v>
          </cell>
          <cell r="W162">
            <v>0</v>
          </cell>
        </row>
        <row r="163">
          <cell r="P163" t="str">
            <v xml:space="preserve"> </v>
          </cell>
          <cell r="Q163">
            <v>0</v>
          </cell>
          <cell r="U163">
            <v>0</v>
          </cell>
          <cell r="V163">
            <v>0</v>
          </cell>
          <cell r="W163">
            <v>0</v>
          </cell>
        </row>
        <row r="164">
          <cell r="P164" t="str">
            <v xml:space="preserve"> </v>
          </cell>
          <cell r="Q164">
            <v>0</v>
          </cell>
          <cell r="U164">
            <v>0</v>
          </cell>
          <cell r="V164">
            <v>0</v>
          </cell>
          <cell r="W164">
            <v>0</v>
          </cell>
        </row>
        <row r="165">
          <cell r="P165" t="str">
            <v xml:space="preserve"> </v>
          </cell>
          <cell r="Q165">
            <v>0</v>
          </cell>
          <cell r="U165">
            <v>0</v>
          </cell>
          <cell r="V165">
            <v>0</v>
          </cell>
          <cell r="W165">
            <v>0</v>
          </cell>
        </row>
        <row r="166">
          <cell r="P166" t="str">
            <v xml:space="preserve"> </v>
          </cell>
          <cell r="Q166">
            <v>0</v>
          </cell>
          <cell r="U166">
            <v>0</v>
          </cell>
          <cell r="V166">
            <v>0</v>
          </cell>
          <cell r="W166">
            <v>0</v>
          </cell>
        </row>
        <row r="167">
          <cell r="P167" t="str">
            <v xml:space="preserve"> </v>
          </cell>
          <cell r="Q167">
            <v>0</v>
          </cell>
          <cell r="U167">
            <v>0</v>
          </cell>
          <cell r="V167">
            <v>0</v>
          </cell>
          <cell r="W167">
            <v>0</v>
          </cell>
        </row>
        <row r="168">
          <cell r="P168" t="str">
            <v xml:space="preserve"> </v>
          </cell>
          <cell r="Q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P169" t="str">
            <v xml:space="preserve"> </v>
          </cell>
          <cell r="Q169">
            <v>0</v>
          </cell>
          <cell r="U169">
            <v>0</v>
          </cell>
          <cell r="V169">
            <v>0</v>
          </cell>
          <cell r="W169">
            <v>0</v>
          </cell>
        </row>
        <row r="170">
          <cell r="P170" t="str">
            <v xml:space="preserve"> </v>
          </cell>
          <cell r="Q170">
            <v>0</v>
          </cell>
          <cell r="U170">
            <v>0</v>
          </cell>
          <cell r="V170">
            <v>0</v>
          </cell>
          <cell r="W170">
            <v>0</v>
          </cell>
        </row>
        <row r="171">
          <cell r="P171" t="str">
            <v xml:space="preserve"> </v>
          </cell>
          <cell r="Q171">
            <v>0</v>
          </cell>
          <cell r="U171">
            <v>0</v>
          </cell>
          <cell r="V171">
            <v>0</v>
          </cell>
          <cell r="W171">
            <v>0</v>
          </cell>
        </row>
        <row r="172">
          <cell r="P172" t="str">
            <v xml:space="preserve"> </v>
          </cell>
          <cell r="Q172">
            <v>0</v>
          </cell>
          <cell r="U172">
            <v>0</v>
          </cell>
          <cell r="V172">
            <v>0</v>
          </cell>
          <cell r="W172">
            <v>0</v>
          </cell>
        </row>
        <row r="173">
          <cell r="P173" t="str">
            <v xml:space="preserve"> </v>
          </cell>
          <cell r="Q173">
            <v>0</v>
          </cell>
          <cell r="U173">
            <v>0</v>
          </cell>
          <cell r="V173">
            <v>0</v>
          </cell>
          <cell r="W173">
            <v>0</v>
          </cell>
        </row>
        <row r="174">
          <cell r="P174" t="str">
            <v xml:space="preserve"> </v>
          </cell>
          <cell r="Q174">
            <v>0</v>
          </cell>
          <cell r="U174">
            <v>0</v>
          </cell>
          <cell r="V174">
            <v>0</v>
          </cell>
          <cell r="W174">
            <v>0</v>
          </cell>
        </row>
        <row r="175">
          <cell r="P175" t="str">
            <v xml:space="preserve"> </v>
          </cell>
          <cell r="Q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P176" t="str">
            <v xml:space="preserve"> </v>
          </cell>
          <cell r="Q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P177" t="str">
            <v xml:space="preserve"> </v>
          </cell>
          <cell r="Q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P178" t="str">
            <v xml:space="preserve"> </v>
          </cell>
          <cell r="Q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P179" t="str">
            <v xml:space="preserve"> </v>
          </cell>
          <cell r="Q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P180" t="str">
            <v xml:space="preserve"> </v>
          </cell>
          <cell r="Q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P181" t="str">
            <v xml:space="preserve"> </v>
          </cell>
          <cell r="Q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P182" t="str">
            <v xml:space="preserve"> </v>
          </cell>
          <cell r="Q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P183" t="str">
            <v xml:space="preserve"> </v>
          </cell>
          <cell r="Q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P184" t="str">
            <v xml:space="preserve"> </v>
          </cell>
          <cell r="Q184">
            <v>0</v>
          </cell>
          <cell r="U184">
            <v>0</v>
          </cell>
          <cell r="V184">
            <v>0</v>
          </cell>
          <cell r="W184">
            <v>0</v>
          </cell>
        </row>
        <row r="185">
          <cell r="P185" t="str">
            <v xml:space="preserve"> </v>
          </cell>
          <cell r="Q185">
            <v>0</v>
          </cell>
          <cell r="U185">
            <v>0</v>
          </cell>
          <cell r="V185">
            <v>0</v>
          </cell>
          <cell r="W185">
            <v>0</v>
          </cell>
        </row>
        <row r="186">
          <cell r="P186" t="str">
            <v xml:space="preserve"> </v>
          </cell>
          <cell r="Q186">
            <v>0</v>
          </cell>
          <cell r="U186">
            <v>0</v>
          </cell>
          <cell r="V186">
            <v>0</v>
          </cell>
          <cell r="W186">
            <v>0</v>
          </cell>
        </row>
        <row r="187">
          <cell r="P187" t="str">
            <v xml:space="preserve"> </v>
          </cell>
          <cell r="Q187">
            <v>0</v>
          </cell>
          <cell r="U187">
            <v>0</v>
          </cell>
          <cell r="V187">
            <v>0</v>
          </cell>
          <cell r="W187">
            <v>0</v>
          </cell>
        </row>
        <row r="188">
          <cell r="P188" t="str">
            <v xml:space="preserve"> </v>
          </cell>
          <cell r="Q188">
            <v>0</v>
          </cell>
          <cell r="U188">
            <v>0</v>
          </cell>
          <cell r="V188">
            <v>0</v>
          </cell>
          <cell r="W188">
            <v>0</v>
          </cell>
        </row>
        <row r="189">
          <cell r="P189" t="str">
            <v xml:space="preserve"> </v>
          </cell>
          <cell r="Q189">
            <v>0</v>
          </cell>
          <cell r="U189">
            <v>0</v>
          </cell>
          <cell r="V189">
            <v>0</v>
          </cell>
          <cell r="W189">
            <v>0</v>
          </cell>
        </row>
        <row r="190">
          <cell r="P190" t="str">
            <v xml:space="preserve"> </v>
          </cell>
          <cell r="Q190">
            <v>0</v>
          </cell>
          <cell r="U190">
            <v>0</v>
          </cell>
          <cell r="V190">
            <v>0</v>
          </cell>
          <cell r="W190">
            <v>0</v>
          </cell>
        </row>
        <row r="191">
          <cell r="P191" t="str">
            <v xml:space="preserve"> </v>
          </cell>
          <cell r="Q191">
            <v>0</v>
          </cell>
          <cell r="U191">
            <v>0</v>
          </cell>
          <cell r="V191">
            <v>0</v>
          </cell>
          <cell r="W191">
            <v>0</v>
          </cell>
        </row>
        <row r="192">
          <cell r="P192" t="str">
            <v xml:space="preserve"> </v>
          </cell>
          <cell r="Q192">
            <v>0</v>
          </cell>
          <cell r="U192">
            <v>0</v>
          </cell>
          <cell r="V192">
            <v>0</v>
          </cell>
          <cell r="W192">
            <v>0</v>
          </cell>
        </row>
        <row r="193">
          <cell r="P193" t="str">
            <v xml:space="preserve"> </v>
          </cell>
          <cell r="Q193">
            <v>0</v>
          </cell>
          <cell r="U193">
            <v>0</v>
          </cell>
          <cell r="V193">
            <v>0</v>
          </cell>
          <cell r="W193">
            <v>0</v>
          </cell>
        </row>
        <row r="194">
          <cell r="P194" t="str">
            <v xml:space="preserve"> </v>
          </cell>
          <cell r="Q194">
            <v>0</v>
          </cell>
          <cell r="U194">
            <v>0</v>
          </cell>
          <cell r="V194">
            <v>0</v>
          </cell>
          <cell r="W194">
            <v>0</v>
          </cell>
        </row>
        <row r="195">
          <cell r="P195" t="str">
            <v xml:space="preserve"> </v>
          </cell>
          <cell r="Q195">
            <v>0</v>
          </cell>
          <cell r="U195">
            <v>0</v>
          </cell>
          <cell r="V195">
            <v>0</v>
          </cell>
          <cell r="W195">
            <v>0</v>
          </cell>
        </row>
        <row r="196">
          <cell r="P196" t="str">
            <v xml:space="preserve"> </v>
          </cell>
          <cell r="Q196">
            <v>0</v>
          </cell>
          <cell r="U196">
            <v>0</v>
          </cell>
          <cell r="V196">
            <v>0</v>
          </cell>
          <cell r="W196">
            <v>0</v>
          </cell>
        </row>
        <row r="197">
          <cell r="P197" t="str">
            <v xml:space="preserve"> </v>
          </cell>
          <cell r="Q197">
            <v>0</v>
          </cell>
          <cell r="U197">
            <v>0</v>
          </cell>
          <cell r="V197">
            <v>0</v>
          </cell>
          <cell r="W197">
            <v>0</v>
          </cell>
        </row>
        <row r="198">
          <cell r="P198" t="str">
            <v xml:space="preserve"> </v>
          </cell>
          <cell r="Q198">
            <v>0</v>
          </cell>
          <cell r="U198">
            <v>0</v>
          </cell>
          <cell r="V198">
            <v>0</v>
          </cell>
          <cell r="W198">
            <v>0</v>
          </cell>
        </row>
        <row r="199">
          <cell r="P199" t="str">
            <v xml:space="preserve"> </v>
          </cell>
          <cell r="Q199">
            <v>0</v>
          </cell>
          <cell r="U199">
            <v>0</v>
          </cell>
          <cell r="V199">
            <v>0</v>
          </cell>
          <cell r="W199">
            <v>0</v>
          </cell>
        </row>
        <row r="200">
          <cell r="P200" t="str">
            <v xml:space="preserve"> </v>
          </cell>
          <cell r="Q200">
            <v>0</v>
          </cell>
          <cell r="U200">
            <v>0</v>
          </cell>
          <cell r="V200">
            <v>0</v>
          </cell>
          <cell r="W200">
            <v>0</v>
          </cell>
        </row>
        <row r="201">
          <cell r="P201" t="str">
            <v xml:space="preserve"> </v>
          </cell>
          <cell r="Q201">
            <v>0</v>
          </cell>
          <cell r="U201">
            <v>0</v>
          </cell>
          <cell r="V201">
            <v>0</v>
          </cell>
          <cell r="W201">
            <v>0</v>
          </cell>
        </row>
        <row r="202">
          <cell r="P202" t="str">
            <v xml:space="preserve"> </v>
          </cell>
          <cell r="Q202">
            <v>0</v>
          </cell>
          <cell r="U202">
            <v>0</v>
          </cell>
          <cell r="V202">
            <v>0</v>
          </cell>
          <cell r="W202">
            <v>0</v>
          </cell>
        </row>
        <row r="203">
          <cell r="P203" t="str">
            <v xml:space="preserve"> </v>
          </cell>
          <cell r="Q203">
            <v>0</v>
          </cell>
          <cell r="U203">
            <v>0</v>
          </cell>
          <cell r="V203">
            <v>0</v>
          </cell>
          <cell r="W203">
            <v>0</v>
          </cell>
        </row>
        <row r="204">
          <cell r="P204" t="str">
            <v xml:space="preserve"> </v>
          </cell>
          <cell r="Q204">
            <v>0</v>
          </cell>
          <cell r="U204">
            <v>0</v>
          </cell>
          <cell r="V204">
            <v>0</v>
          </cell>
          <cell r="W204">
            <v>0</v>
          </cell>
        </row>
        <row r="205">
          <cell r="P205" t="str">
            <v xml:space="preserve"> </v>
          </cell>
          <cell r="Q205">
            <v>0</v>
          </cell>
          <cell r="U205">
            <v>0</v>
          </cell>
          <cell r="V205">
            <v>0</v>
          </cell>
          <cell r="W205">
            <v>0</v>
          </cell>
        </row>
        <row r="206">
          <cell r="P206" t="str">
            <v xml:space="preserve"> </v>
          </cell>
          <cell r="Q206">
            <v>0</v>
          </cell>
          <cell r="U206">
            <v>0</v>
          </cell>
          <cell r="V206">
            <v>0</v>
          </cell>
          <cell r="W206">
            <v>0</v>
          </cell>
        </row>
        <row r="207">
          <cell r="P207" t="str">
            <v xml:space="preserve"> </v>
          </cell>
          <cell r="Q207">
            <v>0</v>
          </cell>
          <cell r="U207">
            <v>0</v>
          </cell>
          <cell r="V207">
            <v>0</v>
          </cell>
          <cell r="W207">
            <v>0</v>
          </cell>
        </row>
        <row r="208">
          <cell r="P208" t="str">
            <v xml:space="preserve"> </v>
          </cell>
          <cell r="Q208">
            <v>0</v>
          </cell>
          <cell r="U208">
            <v>0</v>
          </cell>
          <cell r="V208">
            <v>0</v>
          </cell>
          <cell r="W208">
            <v>0</v>
          </cell>
        </row>
        <row r="209">
          <cell r="P209" t="str">
            <v xml:space="preserve"> </v>
          </cell>
          <cell r="Q209">
            <v>0</v>
          </cell>
          <cell r="U209">
            <v>0</v>
          </cell>
          <cell r="V209">
            <v>0</v>
          </cell>
          <cell r="W209">
            <v>0</v>
          </cell>
        </row>
        <row r="210">
          <cell r="P210" t="str">
            <v xml:space="preserve"> </v>
          </cell>
          <cell r="Q210">
            <v>0</v>
          </cell>
          <cell r="U210">
            <v>0</v>
          </cell>
          <cell r="V210">
            <v>0</v>
          </cell>
          <cell r="W210">
            <v>0</v>
          </cell>
        </row>
        <row r="211">
          <cell r="P211" t="str">
            <v xml:space="preserve"> </v>
          </cell>
          <cell r="Q211">
            <v>0</v>
          </cell>
          <cell r="U211">
            <v>0</v>
          </cell>
          <cell r="V211">
            <v>0</v>
          </cell>
          <cell r="W211">
            <v>0</v>
          </cell>
        </row>
        <row r="212">
          <cell r="P212" t="str">
            <v xml:space="preserve"> </v>
          </cell>
          <cell r="Q212">
            <v>0</v>
          </cell>
          <cell r="U212">
            <v>0</v>
          </cell>
          <cell r="V212">
            <v>0</v>
          </cell>
          <cell r="W212">
            <v>0</v>
          </cell>
        </row>
        <row r="213">
          <cell r="P213" t="str">
            <v xml:space="preserve"> </v>
          </cell>
          <cell r="Q213">
            <v>0</v>
          </cell>
          <cell r="U213">
            <v>0</v>
          </cell>
          <cell r="V213">
            <v>0</v>
          </cell>
          <cell r="W213">
            <v>0</v>
          </cell>
        </row>
        <row r="214">
          <cell r="P214" t="str">
            <v xml:space="preserve"> </v>
          </cell>
          <cell r="Q214">
            <v>0</v>
          </cell>
          <cell r="U214">
            <v>0</v>
          </cell>
          <cell r="V214">
            <v>0</v>
          </cell>
          <cell r="W214">
            <v>0</v>
          </cell>
        </row>
        <row r="215">
          <cell r="P215" t="str">
            <v xml:space="preserve"> </v>
          </cell>
          <cell r="Q215">
            <v>0</v>
          </cell>
          <cell r="U215">
            <v>0</v>
          </cell>
          <cell r="V215">
            <v>0</v>
          </cell>
          <cell r="W215">
            <v>0</v>
          </cell>
        </row>
        <row r="216">
          <cell r="P216" t="str">
            <v xml:space="preserve"> </v>
          </cell>
          <cell r="Q216">
            <v>0</v>
          </cell>
          <cell r="U216">
            <v>0</v>
          </cell>
          <cell r="V216">
            <v>0</v>
          </cell>
          <cell r="W216">
            <v>0</v>
          </cell>
        </row>
        <row r="217">
          <cell r="P217" t="str">
            <v xml:space="preserve"> </v>
          </cell>
          <cell r="Q217">
            <v>0</v>
          </cell>
          <cell r="U217">
            <v>0</v>
          </cell>
          <cell r="V217">
            <v>0</v>
          </cell>
          <cell r="W217">
            <v>0</v>
          </cell>
        </row>
        <row r="218">
          <cell r="P218" t="str">
            <v xml:space="preserve"> </v>
          </cell>
          <cell r="Q218">
            <v>0</v>
          </cell>
          <cell r="U218">
            <v>0</v>
          </cell>
          <cell r="V218">
            <v>0</v>
          </cell>
          <cell r="W218">
            <v>0</v>
          </cell>
        </row>
        <row r="219">
          <cell r="P219" t="str">
            <v xml:space="preserve"> </v>
          </cell>
          <cell r="Q219">
            <v>0</v>
          </cell>
          <cell r="U219">
            <v>0</v>
          </cell>
          <cell r="V219">
            <v>0</v>
          </cell>
          <cell r="W219">
            <v>0</v>
          </cell>
        </row>
        <row r="220">
          <cell r="P220" t="str">
            <v xml:space="preserve"> </v>
          </cell>
          <cell r="Q220">
            <v>0</v>
          </cell>
          <cell r="U220">
            <v>0</v>
          </cell>
          <cell r="V220">
            <v>0</v>
          </cell>
          <cell r="W220">
            <v>0</v>
          </cell>
        </row>
        <row r="221">
          <cell r="P221" t="str">
            <v xml:space="preserve"> </v>
          </cell>
          <cell r="Q221">
            <v>0</v>
          </cell>
          <cell r="U221">
            <v>0</v>
          </cell>
          <cell r="V221">
            <v>0</v>
          </cell>
          <cell r="W221">
            <v>0</v>
          </cell>
        </row>
        <row r="222">
          <cell r="P222" t="str">
            <v xml:space="preserve"> </v>
          </cell>
          <cell r="Q222">
            <v>0</v>
          </cell>
          <cell r="U222">
            <v>0</v>
          </cell>
          <cell r="V222">
            <v>0</v>
          </cell>
          <cell r="W222">
            <v>0</v>
          </cell>
        </row>
        <row r="223">
          <cell r="P223" t="str">
            <v xml:space="preserve"> </v>
          </cell>
          <cell r="Q223">
            <v>0</v>
          </cell>
          <cell r="U223">
            <v>0</v>
          </cell>
          <cell r="V223">
            <v>0</v>
          </cell>
          <cell r="W223">
            <v>0</v>
          </cell>
        </row>
        <row r="224">
          <cell r="P224" t="str">
            <v xml:space="preserve"> </v>
          </cell>
          <cell r="Q224">
            <v>0</v>
          </cell>
          <cell r="U224">
            <v>0</v>
          </cell>
          <cell r="V224">
            <v>0</v>
          </cell>
          <cell r="W224">
            <v>0</v>
          </cell>
        </row>
        <row r="225">
          <cell r="P225" t="str">
            <v xml:space="preserve"> </v>
          </cell>
          <cell r="Q225">
            <v>0</v>
          </cell>
          <cell r="U225">
            <v>0</v>
          </cell>
          <cell r="V225">
            <v>0</v>
          </cell>
          <cell r="W225">
            <v>0</v>
          </cell>
        </row>
        <row r="226">
          <cell r="P226" t="str">
            <v xml:space="preserve"> </v>
          </cell>
          <cell r="Q226">
            <v>0</v>
          </cell>
          <cell r="U226">
            <v>0</v>
          </cell>
          <cell r="V226">
            <v>0</v>
          </cell>
          <cell r="W226">
            <v>0</v>
          </cell>
        </row>
        <row r="227">
          <cell r="P227" t="str">
            <v xml:space="preserve"> </v>
          </cell>
          <cell r="Q227">
            <v>0</v>
          </cell>
          <cell r="U227">
            <v>0</v>
          </cell>
          <cell r="V227">
            <v>0</v>
          </cell>
          <cell r="W227">
            <v>0</v>
          </cell>
        </row>
        <row r="228">
          <cell r="P228" t="str">
            <v xml:space="preserve"> </v>
          </cell>
          <cell r="Q228">
            <v>0</v>
          </cell>
          <cell r="U228">
            <v>0</v>
          </cell>
          <cell r="V228">
            <v>0</v>
          </cell>
          <cell r="W228">
            <v>0</v>
          </cell>
        </row>
        <row r="229">
          <cell r="P229" t="str">
            <v xml:space="preserve"> </v>
          </cell>
          <cell r="Q229">
            <v>0</v>
          </cell>
          <cell r="U229">
            <v>0</v>
          </cell>
          <cell r="V229">
            <v>0</v>
          </cell>
          <cell r="W229">
            <v>0</v>
          </cell>
        </row>
        <row r="230">
          <cell r="P230" t="str">
            <v xml:space="preserve"> </v>
          </cell>
          <cell r="Q230">
            <v>0</v>
          </cell>
          <cell r="U230">
            <v>0</v>
          </cell>
          <cell r="V230">
            <v>0</v>
          </cell>
          <cell r="W230">
            <v>0</v>
          </cell>
        </row>
        <row r="231">
          <cell r="P231" t="str">
            <v xml:space="preserve"> </v>
          </cell>
          <cell r="Q231">
            <v>0</v>
          </cell>
          <cell r="U231">
            <v>0</v>
          </cell>
          <cell r="V231">
            <v>0</v>
          </cell>
          <cell r="W231">
            <v>0</v>
          </cell>
        </row>
        <row r="232">
          <cell r="P232" t="str">
            <v xml:space="preserve"> </v>
          </cell>
          <cell r="Q232">
            <v>0</v>
          </cell>
          <cell r="U232">
            <v>0</v>
          </cell>
          <cell r="V232">
            <v>0</v>
          </cell>
          <cell r="W232">
            <v>0</v>
          </cell>
        </row>
        <row r="233">
          <cell r="P233" t="str">
            <v xml:space="preserve"> </v>
          </cell>
          <cell r="Q233">
            <v>0</v>
          </cell>
          <cell r="U233">
            <v>0</v>
          </cell>
          <cell r="V233">
            <v>0</v>
          </cell>
          <cell r="W233">
            <v>0</v>
          </cell>
        </row>
        <row r="234">
          <cell r="P234" t="str">
            <v xml:space="preserve"> </v>
          </cell>
          <cell r="Q234">
            <v>0</v>
          </cell>
          <cell r="U234">
            <v>0</v>
          </cell>
          <cell r="V234">
            <v>0</v>
          </cell>
          <cell r="W234">
            <v>0</v>
          </cell>
        </row>
        <row r="235">
          <cell r="P235" t="str">
            <v xml:space="preserve"> </v>
          </cell>
          <cell r="Q235">
            <v>0</v>
          </cell>
          <cell r="U235">
            <v>0</v>
          </cell>
          <cell r="V235">
            <v>0</v>
          </cell>
          <cell r="W235">
            <v>0</v>
          </cell>
        </row>
        <row r="236">
          <cell r="P236" t="str">
            <v xml:space="preserve"> </v>
          </cell>
          <cell r="Q236">
            <v>0</v>
          </cell>
          <cell r="U236">
            <v>0</v>
          </cell>
          <cell r="V236">
            <v>0</v>
          </cell>
          <cell r="W236">
            <v>0</v>
          </cell>
        </row>
        <row r="237">
          <cell r="P237" t="str">
            <v xml:space="preserve"> </v>
          </cell>
          <cell r="Q237">
            <v>0</v>
          </cell>
          <cell r="U237">
            <v>0</v>
          </cell>
          <cell r="V237">
            <v>0</v>
          </cell>
          <cell r="W237">
            <v>0</v>
          </cell>
        </row>
        <row r="238">
          <cell r="P238" t="str">
            <v xml:space="preserve"> </v>
          </cell>
          <cell r="Q238">
            <v>0</v>
          </cell>
          <cell r="U238">
            <v>0</v>
          </cell>
          <cell r="V238">
            <v>0</v>
          </cell>
          <cell r="W238">
            <v>0</v>
          </cell>
        </row>
        <row r="239">
          <cell r="P239" t="str">
            <v xml:space="preserve"> </v>
          </cell>
          <cell r="Q239">
            <v>0</v>
          </cell>
          <cell r="U239">
            <v>0</v>
          </cell>
          <cell r="V239">
            <v>0</v>
          </cell>
          <cell r="W239">
            <v>0</v>
          </cell>
        </row>
        <row r="240">
          <cell r="P240" t="str">
            <v xml:space="preserve"> </v>
          </cell>
          <cell r="Q240">
            <v>0</v>
          </cell>
          <cell r="U240">
            <v>0</v>
          </cell>
          <cell r="V240">
            <v>0</v>
          </cell>
          <cell r="W240">
            <v>0</v>
          </cell>
        </row>
        <row r="241">
          <cell r="P241" t="str">
            <v xml:space="preserve"> </v>
          </cell>
          <cell r="Q241">
            <v>0</v>
          </cell>
          <cell r="U241">
            <v>0</v>
          </cell>
          <cell r="V241">
            <v>0</v>
          </cell>
          <cell r="W241">
            <v>0</v>
          </cell>
        </row>
        <row r="242">
          <cell r="P242" t="str">
            <v xml:space="preserve"> </v>
          </cell>
          <cell r="Q242">
            <v>0</v>
          </cell>
          <cell r="U242">
            <v>0</v>
          </cell>
          <cell r="V242">
            <v>0</v>
          </cell>
          <cell r="W242">
            <v>0</v>
          </cell>
        </row>
        <row r="243">
          <cell r="P243" t="str">
            <v xml:space="preserve"> </v>
          </cell>
          <cell r="Q243">
            <v>0</v>
          </cell>
          <cell r="U243">
            <v>0</v>
          </cell>
          <cell r="V243">
            <v>0</v>
          </cell>
          <cell r="W243">
            <v>0</v>
          </cell>
        </row>
        <row r="244">
          <cell r="P244" t="str">
            <v xml:space="preserve"> </v>
          </cell>
          <cell r="Q244">
            <v>0</v>
          </cell>
          <cell r="U244">
            <v>0</v>
          </cell>
          <cell r="V244">
            <v>0</v>
          </cell>
          <cell r="W244">
            <v>0</v>
          </cell>
        </row>
        <row r="245">
          <cell r="P245" t="str">
            <v xml:space="preserve"> </v>
          </cell>
          <cell r="Q245">
            <v>0</v>
          </cell>
          <cell r="U245">
            <v>0</v>
          </cell>
          <cell r="V245">
            <v>0</v>
          </cell>
          <cell r="W245">
            <v>0</v>
          </cell>
        </row>
        <row r="246">
          <cell r="P246" t="str">
            <v xml:space="preserve"> </v>
          </cell>
          <cell r="Q246">
            <v>0</v>
          </cell>
          <cell r="U246">
            <v>0</v>
          </cell>
          <cell r="V246">
            <v>0</v>
          </cell>
          <cell r="W246">
            <v>0</v>
          </cell>
        </row>
        <row r="247">
          <cell r="P247" t="str">
            <v xml:space="preserve"> </v>
          </cell>
          <cell r="Q247">
            <v>0</v>
          </cell>
          <cell r="U247">
            <v>0</v>
          </cell>
          <cell r="V247">
            <v>0</v>
          </cell>
          <cell r="W247">
            <v>0</v>
          </cell>
        </row>
        <row r="248">
          <cell r="P248" t="str">
            <v xml:space="preserve"> </v>
          </cell>
          <cell r="Q248">
            <v>0</v>
          </cell>
          <cell r="U248">
            <v>0</v>
          </cell>
          <cell r="V248">
            <v>0</v>
          </cell>
          <cell r="W248">
            <v>0</v>
          </cell>
        </row>
        <row r="249">
          <cell r="P249" t="str">
            <v xml:space="preserve"> </v>
          </cell>
          <cell r="Q249">
            <v>0</v>
          </cell>
          <cell r="U249">
            <v>0</v>
          </cell>
          <cell r="V249">
            <v>0</v>
          </cell>
          <cell r="W249">
            <v>0</v>
          </cell>
        </row>
        <row r="250">
          <cell r="P250" t="str">
            <v xml:space="preserve"> </v>
          </cell>
          <cell r="Q250">
            <v>0</v>
          </cell>
          <cell r="U250">
            <v>0</v>
          </cell>
          <cell r="V250">
            <v>0</v>
          </cell>
          <cell r="W250">
            <v>0</v>
          </cell>
        </row>
        <row r="251">
          <cell r="P251" t="str">
            <v xml:space="preserve"> </v>
          </cell>
          <cell r="Q251">
            <v>0</v>
          </cell>
          <cell r="U251">
            <v>0</v>
          </cell>
          <cell r="V251">
            <v>0</v>
          </cell>
          <cell r="W251">
            <v>0</v>
          </cell>
        </row>
        <row r="252">
          <cell r="P252" t="str">
            <v xml:space="preserve"> </v>
          </cell>
          <cell r="Q252">
            <v>0</v>
          </cell>
          <cell r="U252">
            <v>0</v>
          </cell>
          <cell r="V252">
            <v>0</v>
          </cell>
          <cell r="W252">
            <v>0</v>
          </cell>
        </row>
        <row r="253">
          <cell r="P253" t="str">
            <v xml:space="preserve"> </v>
          </cell>
          <cell r="Q253">
            <v>0</v>
          </cell>
          <cell r="U253">
            <v>0</v>
          </cell>
          <cell r="V253">
            <v>0</v>
          </cell>
          <cell r="W253">
            <v>0</v>
          </cell>
        </row>
        <row r="254">
          <cell r="P254" t="str">
            <v xml:space="preserve"> </v>
          </cell>
          <cell r="Q254">
            <v>0</v>
          </cell>
          <cell r="U254">
            <v>0</v>
          </cell>
          <cell r="V254">
            <v>0</v>
          </cell>
          <cell r="W254">
            <v>0</v>
          </cell>
        </row>
        <row r="255">
          <cell r="P255" t="str">
            <v xml:space="preserve"> </v>
          </cell>
          <cell r="Q255">
            <v>0</v>
          </cell>
          <cell r="U255">
            <v>0</v>
          </cell>
          <cell r="V255">
            <v>0</v>
          </cell>
          <cell r="W255">
            <v>0</v>
          </cell>
        </row>
        <row r="256">
          <cell r="P256" t="str">
            <v xml:space="preserve"> </v>
          </cell>
          <cell r="Q256">
            <v>0</v>
          </cell>
          <cell r="U256">
            <v>0</v>
          </cell>
          <cell r="V256">
            <v>0</v>
          </cell>
          <cell r="W256">
            <v>0</v>
          </cell>
        </row>
        <row r="257">
          <cell r="P257" t="str">
            <v xml:space="preserve"> </v>
          </cell>
          <cell r="Q257">
            <v>0</v>
          </cell>
          <cell r="U257">
            <v>0</v>
          </cell>
          <cell r="V257">
            <v>0</v>
          </cell>
          <cell r="W257">
            <v>0</v>
          </cell>
        </row>
        <row r="258">
          <cell r="P258" t="str">
            <v xml:space="preserve"> </v>
          </cell>
          <cell r="Q258">
            <v>0</v>
          </cell>
          <cell r="U258">
            <v>0</v>
          </cell>
          <cell r="V258">
            <v>0</v>
          </cell>
          <cell r="W258">
            <v>0</v>
          </cell>
        </row>
        <row r="259">
          <cell r="P259" t="str">
            <v xml:space="preserve"> </v>
          </cell>
          <cell r="Q259">
            <v>0</v>
          </cell>
          <cell r="U259">
            <v>0</v>
          </cell>
          <cell r="V259">
            <v>0</v>
          </cell>
          <cell r="W259">
            <v>0</v>
          </cell>
        </row>
        <row r="260">
          <cell r="P260" t="str">
            <v xml:space="preserve"> </v>
          </cell>
          <cell r="Q260">
            <v>0</v>
          </cell>
          <cell r="U260">
            <v>0</v>
          </cell>
          <cell r="V260">
            <v>0</v>
          </cell>
          <cell r="W260">
            <v>0</v>
          </cell>
        </row>
        <row r="261">
          <cell r="P261" t="str">
            <v xml:space="preserve"> </v>
          </cell>
          <cell r="Q261">
            <v>0</v>
          </cell>
          <cell r="U261">
            <v>0</v>
          </cell>
          <cell r="V261">
            <v>0</v>
          </cell>
          <cell r="W261">
            <v>0</v>
          </cell>
        </row>
        <row r="262">
          <cell r="P262" t="str">
            <v xml:space="preserve"> </v>
          </cell>
          <cell r="Q262">
            <v>0</v>
          </cell>
          <cell r="U262">
            <v>0</v>
          </cell>
          <cell r="V262">
            <v>0</v>
          </cell>
          <cell r="W262">
            <v>0</v>
          </cell>
        </row>
        <row r="263">
          <cell r="P263" t="str">
            <v xml:space="preserve"> </v>
          </cell>
          <cell r="Q263">
            <v>0</v>
          </cell>
          <cell r="U263">
            <v>0</v>
          </cell>
          <cell r="V263">
            <v>0</v>
          </cell>
          <cell r="W263">
            <v>0</v>
          </cell>
        </row>
        <row r="264">
          <cell r="P264" t="str">
            <v xml:space="preserve"> </v>
          </cell>
          <cell r="Q264">
            <v>0</v>
          </cell>
          <cell r="U264">
            <v>0</v>
          </cell>
          <cell r="V264">
            <v>0</v>
          </cell>
          <cell r="W264">
            <v>0</v>
          </cell>
        </row>
        <row r="265">
          <cell r="P265" t="str">
            <v xml:space="preserve"> </v>
          </cell>
          <cell r="Q265">
            <v>0</v>
          </cell>
          <cell r="U265">
            <v>0</v>
          </cell>
          <cell r="V265">
            <v>0</v>
          </cell>
          <cell r="W265">
            <v>0</v>
          </cell>
        </row>
        <row r="266">
          <cell r="P266" t="str">
            <v xml:space="preserve"> </v>
          </cell>
          <cell r="Q266">
            <v>0</v>
          </cell>
          <cell r="U266">
            <v>0</v>
          </cell>
          <cell r="V266">
            <v>0</v>
          </cell>
          <cell r="W266">
            <v>0</v>
          </cell>
        </row>
        <row r="267">
          <cell r="P267" t="str">
            <v xml:space="preserve"> </v>
          </cell>
          <cell r="Q267">
            <v>0</v>
          </cell>
          <cell r="U267">
            <v>0</v>
          </cell>
          <cell r="V267">
            <v>0</v>
          </cell>
          <cell r="W267">
            <v>0</v>
          </cell>
        </row>
        <row r="268">
          <cell r="P268" t="str">
            <v xml:space="preserve"> </v>
          </cell>
          <cell r="Q268">
            <v>0</v>
          </cell>
          <cell r="U268">
            <v>0</v>
          </cell>
          <cell r="V268">
            <v>0</v>
          </cell>
          <cell r="W268">
            <v>0</v>
          </cell>
        </row>
        <row r="269">
          <cell r="P269" t="str">
            <v xml:space="preserve"> </v>
          </cell>
          <cell r="Q269">
            <v>0</v>
          </cell>
          <cell r="U269">
            <v>0</v>
          </cell>
          <cell r="V269">
            <v>0</v>
          </cell>
          <cell r="W269">
            <v>0</v>
          </cell>
        </row>
        <row r="270">
          <cell r="P270" t="str">
            <v xml:space="preserve"> </v>
          </cell>
          <cell r="Q270">
            <v>0</v>
          </cell>
          <cell r="U270">
            <v>0</v>
          </cell>
          <cell r="V270">
            <v>0</v>
          </cell>
          <cell r="W270">
            <v>0</v>
          </cell>
        </row>
        <row r="271">
          <cell r="P271" t="str">
            <v xml:space="preserve"> </v>
          </cell>
          <cell r="Q271">
            <v>0</v>
          </cell>
          <cell r="U271">
            <v>0</v>
          </cell>
          <cell r="V271">
            <v>0</v>
          </cell>
          <cell r="W271">
            <v>0</v>
          </cell>
        </row>
        <row r="272">
          <cell r="P272" t="str">
            <v xml:space="preserve"> </v>
          </cell>
          <cell r="Q272">
            <v>0</v>
          </cell>
          <cell r="U272">
            <v>0</v>
          </cell>
          <cell r="V272">
            <v>0</v>
          </cell>
          <cell r="W272">
            <v>0</v>
          </cell>
        </row>
        <row r="273">
          <cell r="P273" t="str">
            <v xml:space="preserve"> </v>
          </cell>
          <cell r="Q273">
            <v>0</v>
          </cell>
          <cell r="U273">
            <v>0</v>
          </cell>
          <cell r="V273">
            <v>0</v>
          </cell>
          <cell r="W273">
            <v>0</v>
          </cell>
        </row>
        <row r="274">
          <cell r="P274" t="str">
            <v xml:space="preserve"> </v>
          </cell>
          <cell r="Q274">
            <v>0</v>
          </cell>
          <cell r="U274">
            <v>0</v>
          </cell>
          <cell r="V274">
            <v>0</v>
          </cell>
          <cell r="W274">
            <v>0</v>
          </cell>
        </row>
        <row r="275">
          <cell r="P275" t="str">
            <v xml:space="preserve"> </v>
          </cell>
          <cell r="Q275">
            <v>0</v>
          </cell>
          <cell r="U275">
            <v>0</v>
          </cell>
          <cell r="V275">
            <v>0</v>
          </cell>
          <cell r="W275">
            <v>0</v>
          </cell>
        </row>
        <row r="276">
          <cell r="P276" t="str">
            <v xml:space="preserve"> </v>
          </cell>
          <cell r="Q276">
            <v>0</v>
          </cell>
          <cell r="U276">
            <v>0</v>
          </cell>
          <cell r="V276">
            <v>0</v>
          </cell>
          <cell r="W276">
            <v>0</v>
          </cell>
        </row>
        <row r="277">
          <cell r="P277" t="str">
            <v xml:space="preserve"> </v>
          </cell>
          <cell r="Q277">
            <v>0</v>
          </cell>
          <cell r="U277">
            <v>0</v>
          </cell>
          <cell r="V277">
            <v>0</v>
          </cell>
          <cell r="W277">
            <v>0</v>
          </cell>
        </row>
        <row r="278">
          <cell r="P278" t="str">
            <v xml:space="preserve"> </v>
          </cell>
          <cell r="Q278">
            <v>0</v>
          </cell>
          <cell r="U278">
            <v>0</v>
          </cell>
          <cell r="V278">
            <v>0</v>
          </cell>
          <cell r="W278">
            <v>0</v>
          </cell>
        </row>
        <row r="279">
          <cell r="P279" t="str">
            <v xml:space="preserve"> </v>
          </cell>
          <cell r="Q279">
            <v>0</v>
          </cell>
          <cell r="U279">
            <v>0</v>
          </cell>
          <cell r="V279">
            <v>0</v>
          </cell>
          <cell r="W279">
            <v>0</v>
          </cell>
        </row>
        <row r="280">
          <cell r="P280" t="str">
            <v xml:space="preserve"> </v>
          </cell>
          <cell r="Q280">
            <v>0</v>
          </cell>
          <cell r="U280">
            <v>0</v>
          </cell>
          <cell r="V280">
            <v>0</v>
          </cell>
          <cell r="W280">
            <v>0</v>
          </cell>
        </row>
        <row r="281">
          <cell r="P281" t="str">
            <v xml:space="preserve"> </v>
          </cell>
          <cell r="Q281">
            <v>0</v>
          </cell>
          <cell r="U281">
            <v>0</v>
          </cell>
          <cell r="V281">
            <v>0</v>
          </cell>
          <cell r="W281">
            <v>0</v>
          </cell>
        </row>
        <row r="282">
          <cell r="P282" t="str">
            <v xml:space="preserve"> </v>
          </cell>
          <cell r="Q282">
            <v>0</v>
          </cell>
          <cell r="U282">
            <v>0</v>
          </cell>
          <cell r="V282">
            <v>0</v>
          </cell>
          <cell r="W282">
            <v>0</v>
          </cell>
        </row>
        <row r="283">
          <cell r="P283" t="str">
            <v xml:space="preserve"> </v>
          </cell>
          <cell r="Q283">
            <v>0</v>
          </cell>
          <cell r="U283">
            <v>0</v>
          </cell>
          <cell r="V283">
            <v>0</v>
          </cell>
          <cell r="W283">
            <v>0</v>
          </cell>
        </row>
        <row r="284">
          <cell r="P284" t="str">
            <v xml:space="preserve"> </v>
          </cell>
          <cell r="Q284">
            <v>0</v>
          </cell>
          <cell r="U284">
            <v>0</v>
          </cell>
          <cell r="V284">
            <v>0</v>
          </cell>
          <cell r="W284">
            <v>0</v>
          </cell>
        </row>
        <row r="285">
          <cell r="P285" t="str">
            <v xml:space="preserve"> </v>
          </cell>
          <cell r="Q285">
            <v>0</v>
          </cell>
          <cell r="U285">
            <v>0</v>
          </cell>
          <cell r="V285">
            <v>0</v>
          </cell>
          <cell r="W285">
            <v>0</v>
          </cell>
        </row>
        <row r="286">
          <cell r="P286" t="str">
            <v xml:space="preserve"> </v>
          </cell>
          <cell r="Q286">
            <v>0</v>
          </cell>
          <cell r="U286">
            <v>0</v>
          </cell>
          <cell r="V286">
            <v>0</v>
          </cell>
          <cell r="W286">
            <v>0</v>
          </cell>
        </row>
        <row r="287">
          <cell r="P287" t="str">
            <v xml:space="preserve"> </v>
          </cell>
          <cell r="Q287">
            <v>0</v>
          </cell>
          <cell r="U287">
            <v>0</v>
          </cell>
          <cell r="V287">
            <v>0</v>
          </cell>
          <cell r="W287">
            <v>0</v>
          </cell>
        </row>
        <row r="288">
          <cell r="P288" t="str">
            <v xml:space="preserve"> </v>
          </cell>
          <cell r="Q288">
            <v>0</v>
          </cell>
          <cell r="U288">
            <v>0</v>
          </cell>
          <cell r="V288">
            <v>0</v>
          </cell>
          <cell r="W288">
            <v>0</v>
          </cell>
        </row>
        <row r="289">
          <cell r="P289" t="str">
            <v xml:space="preserve"> </v>
          </cell>
          <cell r="Q289">
            <v>0</v>
          </cell>
          <cell r="U289">
            <v>0</v>
          </cell>
          <cell r="V289">
            <v>0</v>
          </cell>
          <cell r="W289">
            <v>0</v>
          </cell>
        </row>
        <row r="290">
          <cell r="P290" t="str">
            <v xml:space="preserve"> </v>
          </cell>
          <cell r="Q290">
            <v>0</v>
          </cell>
          <cell r="U290">
            <v>0</v>
          </cell>
          <cell r="V290">
            <v>0</v>
          </cell>
          <cell r="W290">
            <v>0</v>
          </cell>
        </row>
        <row r="291">
          <cell r="P291" t="str">
            <v xml:space="preserve"> </v>
          </cell>
          <cell r="Q291">
            <v>0</v>
          </cell>
          <cell r="U291">
            <v>0</v>
          </cell>
          <cell r="V291">
            <v>0</v>
          </cell>
          <cell r="W291">
            <v>0</v>
          </cell>
        </row>
        <row r="292">
          <cell r="P292" t="str">
            <v xml:space="preserve"> </v>
          </cell>
          <cell r="Q292">
            <v>0</v>
          </cell>
          <cell r="U292">
            <v>0</v>
          </cell>
          <cell r="V292">
            <v>0</v>
          </cell>
          <cell r="W292">
            <v>0</v>
          </cell>
        </row>
        <row r="293">
          <cell r="P293" t="str">
            <v xml:space="preserve"> </v>
          </cell>
          <cell r="Q293">
            <v>0</v>
          </cell>
          <cell r="U293">
            <v>0</v>
          </cell>
          <cell r="V293">
            <v>0</v>
          </cell>
          <cell r="W293">
            <v>0</v>
          </cell>
        </row>
        <row r="294">
          <cell r="P294" t="str">
            <v xml:space="preserve"> </v>
          </cell>
          <cell r="Q294">
            <v>0</v>
          </cell>
          <cell r="U294">
            <v>0</v>
          </cell>
          <cell r="V294">
            <v>0</v>
          </cell>
          <cell r="W294">
            <v>0</v>
          </cell>
        </row>
        <row r="295">
          <cell r="P295" t="str">
            <v xml:space="preserve"> </v>
          </cell>
          <cell r="Q295">
            <v>0</v>
          </cell>
          <cell r="U295">
            <v>0</v>
          </cell>
          <cell r="V295">
            <v>0</v>
          </cell>
          <cell r="W295">
            <v>0</v>
          </cell>
        </row>
        <row r="296">
          <cell r="P296" t="str">
            <v xml:space="preserve"> </v>
          </cell>
          <cell r="Q296">
            <v>0</v>
          </cell>
          <cell r="U296">
            <v>0</v>
          </cell>
          <cell r="V296">
            <v>0</v>
          </cell>
          <cell r="W296">
            <v>0</v>
          </cell>
        </row>
        <row r="297">
          <cell r="P297" t="str">
            <v xml:space="preserve"> </v>
          </cell>
          <cell r="Q297">
            <v>0</v>
          </cell>
          <cell r="U297">
            <v>0</v>
          </cell>
          <cell r="V297">
            <v>0</v>
          </cell>
          <cell r="W297">
            <v>0</v>
          </cell>
        </row>
        <row r="298">
          <cell r="P298" t="str">
            <v xml:space="preserve"> </v>
          </cell>
          <cell r="Q298">
            <v>0</v>
          </cell>
          <cell r="U298">
            <v>0</v>
          </cell>
          <cell r="V298">
            <v>0</v>
          </cell>
          <cell r="W298">
            <v>0</v>
          </cell>
        </row>
        <row r="299">
          <cell r="P299" t="str">
            <v xml:space="preserve"> </v>
          </cell>
          <cell r="Q299">
            <v>0</v>
          </cell>
          <cell r="U299">
            <v>0</v>
          </cell>
          <cell r="V299">
            <v>0</v>
          </cell>
          <cell r="W299">
            <v>0</v>
          </cell>
        </row>
        <row r="300">
          <cell r="P300" t="str">
            <v xml:space="preserve"> </v>
          </cell>
          <cell r="Q300">
            <v>0</v>
          </cell>
          <cell r="U300">
            <v>0</v>
          </cell>
          <cell r="V300">
            <v>0</v>
          </cell>
          <cell r="W300">
            <v>0</v>
          </cell>
        </row>
        <row r="301">
          <cell r="P301" t="str">
            <v xml:space="preserve"> </v>
          </cell>
          <cell r="Q301">
            <v>0</v>
          </cell>
          <cell r="U301">
            <v>0</v>
          </cell>
          <cell r="V301">
            <v>0</v>
          </cell>
          <cell r="W301">
            <v>0</v>
          </cell>
        </row>
        <row r="302">
          <cell r="P302" t="str">
            <v xml:space="preserve"> </v>
          </cell>
          <cell r="Q302">
            <v>0</v>
          </cell>
          <cell r="U302">
            <v>0</v>
          </cell>
          <cell r="V302">
            <v>0</v>
          </cell>
          <cell r="W302">
            <v>0</v>
          </cell>
        </row>
        <row r="303">
          <cell r="P303" t="str">
            <v xml:space="preserve"> </v>
          </cell>
          <cell r="Q303">
            <v>0</v>
          </cell>
          <cell r="U303">
            <v>0</v>
          </cell>
          <cell r="V303">
            <v>0</v>
          </cell>
          <cell r="W303">
            <v>0</v>
          </cell>
        </row>
        <row r="304">
          <cell r="P304" t="str">
            <v xml:space="preserve"> </v>
          </cell>
          <cell r="Q304">
            <v>0</v>
          </cell>
          <cell r="U304">
            <v>0</v>
          </cell>
          <cell r="V304">
            <v>0</v>
          </cell>
          <cell r="W304">
            <v>0</v>
          </cell>
        </row>
        <row r="305">
          <cell r="P305" t="str">
            <v xml:space="preserve"> </v>
          </cell>
          <cell r="Q305">
            <v>0</v>
          </cell>
          <cell r="U305">
            <v>0</v>
          </cell>
          <cell r="V305">
            <v>0</v>
          </cell>
          <cell r="W305">
            <v>0</v>
          </cell>
        </row>
        <row r="306">
          <cell r="P306" t="str">
            <v xml:space="preserve"> </v>
          </cell>
          <cell r="Q306">
            <v>0</v>
          </cell>
          <cell r="U306">
            <v>0</v>
          </cell>
          <cell r="V306">
            <v>0</v>
          </cell>
          <cell r="W306">
            <v>0</v>
          </cell>
        </row>
        <row r="307">
          <cell r="P307" t="str">
            <v xml:space="preserve"> </v>
          </cell>
          <cell r="Q307">
            <v>0</v>
          </cell>
          <cell r="U307">
            <v>0</v>
          </cell>
          <cell r="V307">
            <v>0</v>
          </cell>
          <cell r="W307">
            <v>0</v>
          </cell>
        </row>
        <row r="308">
          <cell r="P308" t="str">
            <v xml:space="preserve"> </v>
          </cell>
          <cell r="Q308">
            <v>0</v>
          </cell>
          <cell r="U308">
            <v>0</v>
          </cell>
          <cell r="V308">
            <v>0</v>
          </cell>
          <cell r="W308">
            <v>0</v>
          </cell>
        </row>
        <row r="309">
          <cell r="P309" t="str">
            <v xml:space="preserve"> </v>
          </cell>
          <cell r="Q309">
            <v>0</v>
          </cell>
          <cell r="U309">
            <v>0</v>
          </cell>
          <cell r="V309">
            <v>0</v>
          </cell>
          <cell r="W309">
            <v>0</v>
          </cell>
        </row>
        <row r="310">
          <cell r="P310" t="str">
            <v xml:space="preserve"> </v>
          </cell>
          <cell r="Q310">
            <v>0</v>
          </cell>
          <cell r="U310">
            <v>0</v>
          </cell>
          <cell r="V310">
            <v>0</v>
          </cell>
          <cell r="W310">
            <v>0</v>
          </cell>
        </row>
        <row r="311">
          <cell r="P311" t="str">
            <v xml:space="preserve"> </v>
          </cell>
          <cell r="Q311">
            <v>0</v>
          </cell>
          <cell r="U311">
            <v>0</v>
          </cell>
          <cell r="V311">
            <v>0</v>
          </cell>
          <cell r="W311">
            <v>0</v>
          </cell>
        </row>
        <row r="312">
          <cell r="P312" t="str">
            <v xml:space="preserve"> </v>
          </cell>
          <cell r="Q312">
            <v>0</v>
          </cell>
          <cell r="U312">
            <v>0</v>
          </cell>
          <cell r="V312">
            <v>0</v>
          </cell>
          <cell r="W312">
            <v>0</v>
          </cell>
        </row>
        <row r="313">
          <cell r="P313" t="str">
            <v xml:space="preserve"> </v>
          </cell>
          <cell r="Q313">
            <v>0</v>
          </cell>
          <cell r="U313">
            <v>0</v>
          </cell>
          <cell r="V313">
            <v>0</v>
          </cell>
          <cell r="W313">
            <v>0</v>
          </cell>
        </row>
        <row r="314">
          <cell r="P314" t="str">
            <v xml:space="preserve"> </v>
          </cell>
          <cell r="Q314">
            <v>0</v>
          </cell>
          <cell r="U314">
            <v>0</v>
          </cell>
          <cell r="V314">
            <v>0</v>
          </cell>
          <cell r="W314">
            <v>0</v>
          </cell>
        </row>
        <row r="315">
          <cell r="P315" t="str">
            <v xml:space="preserve"> </v>
          </cell>
          <cell r="Q315">
            <v>0</v>
          </cell>
          <cell r="U315">
            <v>0</v>
          </cell>
          <cell r="V315">
            <v>0</v>
          </cell>
          <cell r="W315">
            <v>0</v>
          </cell>
        </row>
        <row r="316">
          <cell r="P316" t="str">
            <v xml:space="preserve"> </v>
          </cell>
          <cell r="Q316">
            <v>0</v>
          </cell>
          <cell r="U316">
            <v>0</v>
          </cell>
          <cell r="V316">
            <v>0</v>
          </cell>
          <cell r="W316">
            <v>0</v>
          </cell>
        </row>
        <row r="317">
          <cell r="P317" t="str">
            <v xml:space="preserve"> </v>
          </cell>
          <cell r="Q317">
            <v>0</v>
          </cell>
          <cell r="U317">
            <v>0</v>
          </cell>
          <cell r="V317">
            <v>0</v>
          </cell>
          <cell r="W317">
            <v>0</v>
          </cell>
        </row>
        <row r="318">
          <cell r="P318" t="str">
            <v xml:space="preserve"> </v>
          </cell>
          <cell r="Q318">
            <v>0</v>
          </cell>
          <cell r="U318">
            <v>0</v>
          </cell>
          <cell r="V318">
            <v>0</v>
          </cell>
          <cell r="W318">
            <v>0</v>
          </cell>
        </row>
        <row r="319">
          <cell r="P319" t="str">
            <v xml:space="preserve"> </v>
          </cell>
          <cell r="Q319">
            <v>0</v>
          </cell>
          <cell r="U319">
            <v>0</v>
          </cell>
          <cell r="V319">
            <v>0</v>
          </cell>
          <cell r="W319">
            <v>0</v>
          </cell>
        </row>
        <row r="320">
          <cell r="P320" t="str">
            <v xml:space="preserve"> </v>
          </cell>
          <cell r="Q320">
            <v>0</v>
          </cell>
          <cell r="U320">
            <v>0</v>
          </cell>
          <cell r="V320">
            <v>0</v>
          </cell>
          <cell r="W320">
            <v>0</v>
          </cell>
        </row>
        <row r="321">
          <cell r="P321" t="str">
            <v xml:space="preserve"> </v>
          </cell>
          <cell r="Q321">
            <v>0</v>
          </cell>
          <cell r="U321">
            <v>0</v>
          </cell>
          <cell r="V321">
            <v>0</v>
          </cell>
          <cell r="W321">
            <v>0</v>
          </cell>
        </row>
        <row r="322">
          <cell r="P322" t="str">
            <v xml:space="preserve"> </v>
          </cell>
          <cell r="Q322">
            <v>0</v>
          </cell>
          <cell r="U322">
            <v>0</v>
          </cell>
          <cell r="V322">
            <v>0</v>
          </cell>
          <cell r="W322">
            <v>0</v>
          </cell>
        </row>
        <row r="323">
          <cell r="P323" t="str">
            <v xml:space="preserve"> </v>
          </cell>
          <cell r="Q323">
            <v>0</v>
          </cell>
          <cell r="U323">
            <v>0</v>
          </cell>
          <cell r="V323">
            <v>0</v>
          </cell>
          <cell r="W323">
            <v>0</v>
          </cell>
        </row>
        <row r="324">
          <cell r="P324" t="str">
            <v xml:space="preserve"> </v>
          </cell>
          <cell r="Q324">
            <v>0</v>
          </cell>
          <cell r="U324">
            <v>0</v>
          </cell>
          <cell r="V324">
            <v>0</v>
          </cell>
          <cell r="W324">
            <v>0</v>
          </cell>
        </row>
        <row r="325">
          <cell r="P325" t="str">
            <v xml:space="preserve"> </v>
          </cell>
          <cell r="Q325">
            <v>0</v>
          </cell>
          <cell r="U325">
            <v>0</v>
          </cell>
          <cell r="V325">
            <v>0</v>
          </cell>
          <cell r="W325">
            <v>0</v>
          </cell>
        </row>
        <row r="326">
          <cell r="P326" t="str">
            <v xml:space="preserve"> </v>
          </cell>
          <cell r="Q326">
            <v>0</v>
          </cell>
          <cell r="U326">
            <v>0</v>
          </cell>
          <cell r="V326">
            <v>0</v>
          </cell>
          <cell r="W326">
            <v>0</v>
          </cell>
        </row>
        <row r="327">
          <cell r="P327" t="str">
            <v xml:space="preserve"> </v>
          </cell>
          <cell r="Q327">
            <v>0</v>
          </cell>
          <cell r="U327">
            <v>0</v>
          </cell>
          <cell r="V327">
            <v>0</v>
          </cell>
          <cell r="W327">
            <v>0</v>
          </cell>
        </row>
        <row r="328">
          <cell r="P328" t="str">
            <v xml:space="preserve"> </v>
          </cell>
          <cell r="Q328">
            <v>0</v>
          </cell>
          <cell r="U328">
            <v>0</v>
          </cell>
          <cell r="V328">
            <v>0</v>
          </cell>
          <cell r="W328">
            <v>0</v>
          </cell>
        </row>
        <row r="329">
          <cell r="P329" t="str">
            <v xml:space="preserve"> </v>
          </cell>
          <cell r="Q329">
            <v>0</v>
          </cell>
          <cell r="U329">
            <v>0</v>
          </cell>
          <cell r="V329">
            <v>0</v>
          </cell>
          <cell r="W329">
            <v>0</v>
          </cell>
        </row>
        <row r="330">
          <cell r="P330" t="str">
            <v xml:space="preserve"> </v>
          </cell>
          <cell r="Q330">
            <v>0</v>
          </cell>
          <cell r="U330">
            <v>0</v>
          </cell>
          <cell r="V330">
            <v>0</v>
          </cell>
          <cell r="W330">
            <v>0</v>
          </cell>
        </row>
        <row r="331">
          <cell r="P331" t="str">
            <v xml:space="preserve"> </v>
          </cell>
          <cell r="Q331">
            <v>0</v>
          </cell>
          <cell r="U331">
            <v>0</v>
          </cell>
          <cell r="V331">
            <v>0</v>
          </cell>
          <cell r="W331">
            <v>0</v>
          </cell>
        </row>
        <row r="332">
          <cell r="P332" t="str">
            <v xml:space="preserve"> </v>
          </cell>
          <cell r="Q332">
            <v>0</v>
          </cell>
          <cell r="U332">
            <v>0</v>
          </cell>
          <cell r="V332">
            <v>0</v>
          </cell>
          <cell r="W332">
            <v>0</v>
          </cell>
        </row>
        <row r="333">
          <cell r="P333" t="str">
            <v xml:space="preserve"> </v>
          </cell>
          <cell r="Q333">
            <v>0</v>
          </cell>
          <cell r="U333">
            <v>0</v>
          </cell>
          <cell r="V333">
            <v>0</v>
          </cell>
          <cell r="W333">
            <v>0</v>
          </cell>
        </row>
        <row r="334">
          <cell r="P334" t="str">
            <v xml:space="preserve"> </v>
          </cell>
          <cell r="Q334">
            <v>0</v>
          </cell>
          <cell r="U334">
            <v>0</v>
          </cell>
          <cell r="V334">
            <v>0</v>
          </cell>
          <cell r="W334">
            <v>0</v>
          </cell>
        </row>
        <row r="335">
          <cell r="P335" t="str">
            <v xml:space="preserve"> </v>
          </cell>
          <cell r="Q335">
            <v>0</v>
          </cell>
          <cell r="U335">
            <v>0</v>
          </cell>
          <cell r="V335">
            <v>0</v>
          </cell>
          <cell r="W335">
            <v>0</v>
          </cell>
        </row>
        <row r="336">
          <cell r="P336" t="str">
            <v xml:space="preserve"> </v>
          </cell>
          <cell r="Q336">
            <v>0</v>
          </cell>
          <cell r="U336">
            <v>0</v>
          </cell>
          <cell r="V336">
            <v>0</v>
          </cell>
          <cell r="W336">
            <v>0</v>
          </cell>
        </row>
        <row r="337">
          <cell r="P337" t="str">
            <v xml:space="preserve"> </v>
          </cell>
          <cell r="Q337">
            <v>0</v>
          </cell>
          <cell r="U337">
            <v>0</v>
          </cell>
          <cell r="V337">
            <v>0</v>
          </cell>
          <cell r="W337">
            <v>0</v>
          </cell>
        </row>
        <row r="338">
          <cell r="P338" t="str">
            <v xml:space="preserve"> </v>
          </cell>
          <cell r="Q338">
            <v>0</v>
          </cell>
          <cell r="U338">
            <v>0</v>
          </cell>
          <cell r="V338">
            <v>0</v>
          </cell>
          <cell r="W338">
            <v>0</v>
          </cell>
        </row>
        <row r="339">
          <cell r="P339" t="str">
            <v xml:space="preserve"> </v>
          </cell>
          <cell r="Q339">
            <v>0</v>
          </cell>
          <cell r="U339">
            <v>0</v>
          </cell>
          <cell r="V339">
            <v>0</v>
          </cell>
          <cell r="W339">
            <v>0</v>
          </cell>
        </row>
        <row r="340">
          <cell r="P340" t="str">
            <v xml:space="preserve"> </v>
          </cell>
          <cell r="Q340">
            <v>0</v>
          </cell>
          <cell r="U340">
            <v>0</v>
          </cell>
          <cell r="V340">
            <v>0</v>
          </cell>
          <cell r="W340">
            <v>0</v>
          </cell>
        </row>
        <row r="341">
          <cell r="P341" t="str">
            <v xml:space="preserve"> </v>
          </cell>
          <cell r="Q341">
            <v>0</v>
          </cell>
          <cell r="U341">
            <v>0</v>
          </cell>
          <cell r="V341">
            <v>0</v>
          </cell>
          <cell r="W341">
            <v>0</v>
          </cell>
        </row>
        <row r="342">
          <cell r="P342" t="str">
            <v xml:space="preserve"> </v>
          </cell>
          <cell r="Q342">
            <v>0</v>
          </cell>
          <cell r="U342">
            <v>0</v>
          </cell>
          <cell r="V342">
            <v>0</v>
          </cell>
          <cell r="W342">
            <v>0</v>
          </cell>
        </row>
        <row r="343">
          <cell r="P343" t="str">
            <v xml:space="preserve"> </v>
          </cell>
          <cell r="Q343">
            <v>0</v>
          </cell>
          <cell r="U343">
            <v>0</v>
          </cell>
          <cell r="V343">
            <v>0</v>
          </cell>
          <cell r="W343">
            <v>0</v>
          </cell>
        </row>
        <row r="344">
          <cell r="P344" t="str">
            <v xml:space="preserve"> </v>
          </cell>
          <cell r="Q344">
            <v>0</v>
          </cell>
          <cell r="U344">
            <v>0</v>
          </cell>
          <cell r="V344">
            <v>0</v>
          </cell>
          <cell r="W344">
            <v>0</v>
          </cell>
        </row>
        <row r="345">
          <cell r="P345" t="str">
            <v xml:space="preserve"> </v>
          </cell>
          <cell r="Q345">
            <v>0</v>
          </cell>
          <cell r="U345">
            <v>0</v>
          </cell>
          <cell r="V345">
            <v>0</v>
          </cell>
          <cell r="W345">
            <v>0</v>
          </cell>
        </row>
        <row r="346">
          <cell r="P346" t="str">
            <v xml:space="preserve"> </v>
          </cell>
          <cell r="Q346">
            <v>0</v>
          </cell>
          <cell r="U346">
            <v>0</v>
          </cell>
          <cell r="V346">
            <v>0</v>
          </cell>
          <cell r="W346">
            <v>0</v>
          </cell>
        </row>
        <row r="347">
          <cell r="P347" t="str">
            <v xml:space="preserve"> </v>
          </cell>
          <cell r="Q347">
            <v>0</v>
          </cell>
          <cell r="U347">
            <v>0</v>
          </cell>
          <cell r="V347">
            <v>0</v>
          </cell>
          <cell r="W347">
            <v>0</v>
          </cell>
        </row>
        <row r="348">
          <cell r="P348" t="str">
            <v xml:space="preserve"> </v>
          </cell>
          <cell r="Q348">
            <v>0</v>
          </cell>
          <cell r="U348">
            <v>0</v>
          </cell>
          <cell r="V348">
            <v>0</v>
          </cell>
          <cell r="W348">
            <v>0</v>
          </cell>
        </row>
        <row r="349">
          <cell r="P349" t="str">
            <v xml:space="preserve"> </v>
          </cell>
          <cell r="Q349">
            <v>0</v>
          </cell>
          <cell r="U349">
            <v>0</v>
          </cell>
          <cell r="V349">
            <v>0</v>
          </cell>
          <cell r="W349">
            <v>0</v>
          </cell>
        </row>
        <row r="350">
          <cell r="P350" t="str">
            <v xml:space="preserve"> </v>
          </cell>
          <cell r="Q350">
            <v>0</v>
          </cell>
          <cell r="U350">
            <v>0</v>
          </cell>
          <cell r="V350">
            <v>0</v>
          </cell>
          <cell r="W350">
            <v>0</v>
          </cell>
        </row>
        <row r="351">
          <cell r="P351" t="str">
            <v xml:space="preserve"> </v>
          </cell>
          <cell r="Q351">
            <v>0</v>
          </cell>
          <cell r="U351">
            <v>0</v>
          </cell>
          <cell r="V351">
            <v>0</v>
          </cell>
          <cell r="W351">
            <v>0</v>
          </cell>
        </row>
        <row r="352">
          <cell r="P352" t="str">
            <v xml:space="preserve"> </v>
          </cell>
          <cell r="Q352">
            <v>0</v>
          </cell>
          <cell r="U352">
            <v>0</v>
          </cell>
          <cell r="V352">
            <v>0</v>
          </cell>
          <cell r="W352">
            <v>0</v>
          </cell>
        </row>
        <row r="353">
          <cell r="P353" t="str">
            <v xml:space="preserve"> </v>
          </cell>
          <cell r="Q353">
            <v>0</v>
          </cell>
          <cell r="U353">
            <v>0</v>
          </cell>
          <cell r="V353">
            <v>0</v>
          </cell>
          <cell r="W353">
            <v>0</v>
          </cell>
        </row>
        <row r="354">
          <cell r="P354" t="str">
            <v xml:space="preserve"> </v>
          </cell>
          <cell r="Q354">
            <v>0</v>
          </cell>
          <cell r="U354">
            <v>0</v>
          </cell>
          <cell r="V354">
            <v>0</v>
          </cell>
          <cell r="W354">
            <v>0</v>
          </cell>
        </row>
        <row r="355">
          <cell r="P355" t="str">
            <v xml:space="preserve"> </v>
          </cell>
          <cell r="Q355">
            <v>0</v>
          </cell>
          <cell r="U355">
            <v>0</v>
          </cell>
          <cell r="V355">
            <v>0</v>
          </cell>
          <cell r="W355">
            <v>0</v>
          </cell>
        </row>
        <row r="356">
          <cell r="P356" t="str">
            <v xml:space="preserve"> </v>
          </cell>
          <cell r="Q356">
            <v>0</v>
          </cell>
          <cell r="U356">
            <v>0</v>
          </cell>
          <cell r="V356">
            <v>0</v>
          </cell>
          <cell r="W356">
            <v>0</v>
          </cell>
        </row>
        <row r="357">
          <cell r="P357" t="str">
            <v xml:space="preserve"> </v>
          </cell>
          <cell r="Q357">
            <v>0</v>
          </cell>
          <cell r="U357">
            <v>0</v>
          </cell>
          <cell r="V357">
            <v>0</v>
          </cell>
          <cell r="W357">
            <v>0</v>
          </cell>
        </row>
        <row r="358">
          <cell r="P358" t="str">
            <v xml:space="preserve"> </v>
          </cell>
          <cell r="Q358">
            <v>0</v>
          </cell>
          <cell r="U358">
            <v>0</v>
          </cell>
          <cell r="V358">
            <v>0</v>
          </cell>
          <cell r="W358">
            <v>0</v>
          </cell>
        </row>
        <row r="359">
          <cell r="P359" t="str">
            <v xml:space="preserve"> </v>
          </cell>
          <cell r="Q359">
            <v>0</v>
          </cell>
          <cell r="U359">
            <v>0</v>
          </cell>
          <cell r="V359">
            <v>0</v>
          </cell>
          <cell r="W359">
            <v>0</v>
          </cell>
        </row>
        <row r="360">
          <cell r="P360" t="str">
            <v xml:space="preserve"> </v>
          </cell>
          <cell r="Q360">
            <v>0</v>
          </cell>
          <cell r="U360">
            <v>0</v>
          </cell>
          <cell r="V360">
            <v>0</v>
          </cell>
          <cell r="W360">
            <v>0</v>
          </cell>
        </row>
        <row r="361">
          <cell r="P361" t="str">
            <v xml:space="preserve"> </v>
          </cell>
          <cell r="Q361">
            <v>0</v>
          </cell>
          <cell r="U361">
            <v>0</v>
          </cell>
          <cell r="V361">
            <v>0</v>
          </cell>
          <cell r="W361">
            <v>0</v>
          </cell>
        </row>
        <row r="362">
          <cell r="P362" t="str">
            <v xml:space="preserve"> </v>
          </cell>
          <cell r="Q362">
            <v>0</v>
          </cell>
          <cell r="U362">
            <v>0</v>
          </cell>
          <cell r="V362">
            <v>0</v>
          </cell>
          <cell r="W362">
            <v>0</v>
          </cell>
        </row>
        <row r="363">
          <cell r="P363" t="str">
            <v xml:space="preserve"> </v>
          </cell>
          <cell r="Q363">
            <v>0</v>
          </cell>
          <cell r="U363">
            <v>0</v>
          </cell>
          <cell r="V363">
            <v>0</v>
          </cell>
          <cell r="W363">
            <v>0</v>
          </cell>
        </row>
        <row r="364">
          <cell r="P364" t="str">
            <v xml:space="preserve"> </v>
          </cell>
          <cell r="Q364">
            <v>0</v>
          </cell>
          <cell r="U364">
            <v>0</v>
          </cell>
          <cell r="V364">
            <v>0</v>
          </cell>
          <cell r="W364">
            <v>0</v>
          </cell>
        </row>
        <row r="365">
          <cell r="P365" t="str">
            <v xml:space="preserve"> </v>
          </cell>
          <cell r="Q365">
            <v>0</v>
          </cell>
          <cell r="U365">
            <v>0</v>
          </cell>
          <cell r="V365">
            <v>0</v>
          </cell>
          <cell r="W365">
            <v>0</v>
          </cell>
        </row>
        <row r="366">
          <cell r="P366" t="str">
            <v xml:space="preserve"> </v>
          </cell>
          <cell r="Q366">
            <v>0</v>
          </cell>
          <cell r="U366">
            <v>0</v>
          </cell>
          <cell r="V366">
            <v>0</v>
          </cell>
          <cell r="W366">
            <v>0</v>
          </cell>
        </row>
        <row r="367">
          <cell r="P367" t="str">
            <v xml:space="preserve"> </v>
          </cell>
          <cell r="Q367">
            <v>0</v>
          </cell>
          <cell r="U367">
            <v>0</v>
          </cell>
          <cell r="V367">
            <v>0</v>
          </cell>
          <cell r="W367">
            <v>0</v>
          </cell>
        </row>
        <row r="368">
          <cell r="P368" t="str">
            <v xml:space="preserve"> </v>
          </cell>
          <cell r="Q368">
            <v>0</v>
          </cell>
          <cell r="U368">
            <v>0</v>
          </cell>
          <cell r="V368">
            <v>0</v>
          </cell>
          <cell r="W368">
            <v>0</v>
          </cell>
        </row>
        <row r="369">
          <cell r="P369" t="str">
            <v xml:space="preserve"> </v>
          </cell>
          <cell r="Q369">
            <v>0</v>
          </cell>
          <cell r="U369">
            <v>0</v>
          </cell>
          <cell r="V369">
            <v>0</v>
          </cell>
          <cell r="W369">
            <v>0</v>
          </cell>
        </row>
        <row r="370">
          <cell r="P370" t="str">
            <v xml:space="preserve"> </v>
          </cell>
          <cell r="Q370">
            <v>0</v>
          </cell>
          <cell r="U370">
            <v>0</v>
          </cell>
          <cell r="V370">
            <v>0</v>
          </cell>
          <cell r="W370">
            <v>0</v>
          </cell>
        </row>
        <row r="371">
          <cell r="P371" t="str">
            <v xml:space="preserve"> </v>
          </cell>
          <cell r="Q371">
            <v>0</v>
          </cell>
          <cell r="U371">
            <v>0</v>
          </cell>
          <cell r="V371">
            <v>0</v>
          </cell>
          <cell r="W371">
            <v>0</v>
          </cell>
        </row>
        <row r="372">
          <cell r="P372" t="str">
            <v xml:space="preserve"> </v>
          </cell>
          <cell r="Q372">
            <v>0</v>
          </cell>
          <cell r="U372">
            <v>0</v>
          </cell>
          <cell r="V372">
            <v>0</v>
          </cell>
          <cell r="W372">
            <v>0</v>
          </cell>
        </row>
        <row r="373">
          <cell r="P373" t="str">
            <v xml:space="preserve"> </v>
          </cell>
          <cell r="Q373">
            <v>0</v>
          </cell>
          <cell r="U373">
            <v>0</v>
          </cell>
          <cell r="V373">
            <v>0</v>
          </cell>
          <cell r="W373">
            <v>0</v>
          </cell>
        </row>
        <row r="374">
          <cell r="P374" t="str">
            <v xml:space="preserve"> </v>
          </cell>
          <cell r="Q374">
            <v>0</v>
          </cell>
          <cell r="U374">
            <v>0</v>
          </cell>
          <cell r="V374">
            <v>0</v>
          </cell>
          <cell r="W374">
            <v>0</v>
          </cell>
        </row>
        <row r="375">
          <cell r="P375" t="str">
            <v xml:space="preserve"> </v>
          </cell>
          <cell r="Q375">
            <v>0</v>
          </cell>
          <cell r="U375">
            <v>0</v>
          </cell>
          <cell r="V375">
            <v>0</v>
          </cell>
          <cell r="W375">
            <v>0</v>
          </cell>
        </row>
        <row r="376">
          <cell r="P376" t="str">
            <v xml:space="preserve"> </v>
          </cell>
          <cell r="Q376">
            <v>0</v>
          </cell>
          <cell r="U376">
            <v>0</v>
          </cell>
          <cell r="V376">
            <v>0</v>
          </cell>
          <cell r="W376">
            <v>0</v>
          </cell>
        </row>
        <row r="377">
          <cell r="P377" t="str">
            <v xml:space="preserve"> </v>
          </cell>
          <cell r="Q377">
            <v>0</v>
          </cell>
          <cell r="U377">
            <v>0</v>
          </cell>
          <cell r="V377">
            <v>0</v>
          </cell>
          <cell r="W377">
            <v>0</v>
          </cell>
        </row>
        <row r="378">
          <cell r="P378" t="str">
            <v xml:space="preserve"> </v>
          </cell>
          <cell r="Q378">
            <v>0</v>
          </cell>
          <cell r="U378">
            <v>0</v>
          </cell>
          <cell r="V378">
            <v>0</v>
          </cell>
          <cell r="W378">
            <v>0</v>
          </cell>
        </row>
        <row r="379">
          <cell r="P379" t="str">
            <v xml:space="preserve"> </v>
          </cell>
          <cell r="Q379">
            <v>0</v>
          </cell>
          <cell r="U379">
            <v>0</v>
          </cell>
          <cell r="V379">
            <v>0</v>
          </cell>
          <cell r="W379">
            <v>0</v>
          </cell>
        </row>
        <row r="380">
          <cell r="P380" t="str">
            <v xml:space="preserve"> </v>
          </cell>
          <cell r="Q380">
            <v>0</v>
          </cell>
          <cell r="U380">
            <v>0</v>
          </cell>
          <cell r="V380">
            <v>0</v>
          </cell>
          <cell r="W380">
            <v>0</v>
          </cell>
        </row>
        <row r="381">
          <cell r="P381" t="str">
            <v xml:space="preserve"> </v>
          </cell>
          <cell r="Q381">
            <v>0</v>
          </cell>
          <cell r="U381">
            <v>0</v>
          </cell>
          <cell r="V381">
            <v>0</v>
          </cell>
          <cell r="W381">
            <v>0</v>
          </cell>
        </row>
        <row r="382">
          <cell r="P382" t="str">
            <v xml:space="preserve"> </v>
          </cell>
          <cell r="Q382">
            <v>0</v>
          </cell>
          <cell r="U382">
            <v>0</v>
          </cell>
          <cell r="V382">
            <v>0</v>
          </cell>
          <cell r="W382">
            <v>0</v>
          </cell>
        </row>
        <row r="383">
          <cell r="P383" t="str">
            <v xml:space="preserve"> </v>
          </cell>
          <cell r="Q383">
            <v>0</v>
          </cell>
          <cell r="U383">
            <v>0</v>
          </cell>
          <cell r="V383">
            <v>0</v>
          </cell>
          <cell r="W383">
            <v>0</v>
          </cell>
        </row>
        <row r="384">
          <cell r="P384" t="str">
            <v xml:space="preserve"> </v>
          </cell>
          <cell r="Q384">
            <v>0</v>
          </cell>
          <cell r="U384">
            <v>0</v>
          </cell>
          <cell r="V384">
            <v>0</v>
          </cell>
          <cell r="W384">
            <v>0</v>
          </cell>
        </row>
        <row r="385">
          <cell r="P385" t="str">
            <v xml:space="preserve"> </v>
          </cell>
          <cell r="Q385">
            <v>0</v>
          </cell>
          <cell r="U385">
            <v>0</v>
          </cell>
          <cell r="V385">
            <v>0</v>
          </cell>
          <cell r="W385">
            <v>0</v>
          </cell>
        </row>
        <row r="386">
          <cell r="P386" t="str">
            <v xml:space="preserve"> </v>
          </cell>
          <cell r="Q386">
            <v>0</v>
          </cell>
          <cell r="U386">
            <v>0</v>
          </cell>
          <cell r="V386">
            <v>0</v>
          </cell>
          <cell r="W386">
            <v>0</v>
          </cell>
        </row>
        <row r="387">
          <cell r="P387" t="str">
            <v xml:space="preserve"> </v>
          </cell>
          <cell r="Q387">
            <v>0</v>
          </cell>
          <cell r="U387">
            <v>0</v>
          </cell>
          <cell r="V387">
            <v>0</v>
          </cell>
          <cell r="W387">
            <v>0</v>
          </cell>
        </row>
        <row r="388">
          <cell r="P388" t="str">
            <v xml:space="preserve"> </v>
          </cell>
          <cell r="Q388">
            <v>0</v>
          </cell>
          <cell r="U388">
            <v>0</v>
          </cell>
          <cell r="V388">
            <v>0</v>
          </cell>
          <cell r="W388">
            <v>0</v>
          </cell>
        </row>
        <row r="389">
          <cell r="P389" t="str">
            <v xml:space="preserve"> </v>
          </cell>
          <cell r="Q389">
            <v>0</v>
          </cell>
          <cell r="U389">
            <v>0</v>
          </cell>
          <cell r="V389">
            <v>0</v>
          </cell>
          <cell r="W389">
            <v>0</v>
          </cell>
        </row>
        <row r="390">
          <cell r="P390" t="str">
            <v xml:space="preserve"> </v>
          </cell>
          <cell r="Q390">
            <v>0</v>
          </cell>
          <cell r="U390">
            <v>0</v>
          </cell>
          <cell r="V390">
            <v>0</v>
          </cell>
          <cell r="W390">
            <v>0</v>
          </cell>
        </row>
        <row r="391">
          <cell r="P391" t="str">
            <v xml:space="preserve"> </v>
          </cell>
          <cell r="Q391">
            <v>0</v>
          </cell>
          <cell r="U391">
            <v>0</v>
          </cell>
          <cell r="V391">
            <v>0</v>
          </cell>
          <cell r="W391">
            <v>0</v>
          </cell>
        </row>
        <row r="392">
          <cell r="P392" t="str">
            <v xml:space="preserve"> </v>
          </cell>
          <cell r="Q392">
            <v>0</v>
          </cell>
          <cell r="U392">
            <v>0</v>
          </cell>
          <cell r="V392">
            <v>0</v>
          </cell>
          <cell r="W392">
            <v>0</v>
          </cell>
        </row>
        <row r="393">
          <cell r="P393" t="str">
            <v xml:space="preserve"> </v>
          </cell>
          <cell r="Q393">
            <v>0</v>
          </cell>
          <cell r="U393">
            <v>0</v>
          </cell>
          <cell r="V393">
            <v>0</v>
          </cell>
          <cell r="W393">
            <v>0</v>
          </cell>
        </row>
        <row r="394">
          <cell r="P394" t="str">
            <v xml:space="preserve"> </v>
          </cell>
          <cell r="Q394">
            <v>0</v>
          </cell>
          <cell r="U394">
            <v>0</v>
          </cell>
          <cell r="V394">
            <v>0</v>
          </cell>
          <cell r="W394">
            <v>0</v>
          </cell>
        </row>
        <row r="395">
          <cell r="P395" t="str">
            <v xml:space="preserve"> </v>
          </cell>
          <cell r="Q395">
            <v>0</v>
          </cell>
          <cell r="U395">
            <v>0</v>
          </cell>
          <cell r="V395">
            <v>0</v>
          </cell>
          <cell r="W395">
            <v>0</v>
          </cell>
        </row>
        <row r="396">
          <cell r="P396" t="str">
            <v xml:space="preserve"> </v>
          </cell>
          <cell r="Q396">
            <v>0</v>
          </cell>
          <cell r="U396">
            <v>0</v>
          </cell>
          <cell r="V396">
            <v>0</v>
          </cell>
          <cell r="W396">
            <v>0</v>
          </cell>
        </row>
        <row r="397">
          <cell r="P397" t="str">
            <v xml:space="preserve"> </v>
          </cell>
          <cell r="Q397">
            <v>0</v>
          </cell>
          <cell r="U397">
            <v>0</v>
          </cell>
          <cell r="V397">
            <v>0</v>
          </cell>
          <cell r="W397">
            <v>0</v>
          </cell>
        </row>
        <row r="398">
          <cell r="P398" t="str">
            <v xml:space="preserve"> </v>
          </cell>
          <cell r="Q398">
            <v>0</v>
          </cell>
          <cell r="U398">
            <v>0</v>
          </cell>
          <cell r="V398">
            <v>0</v>
          </cell>
          <cell r="W398">
            <v>0</v>
          </cell>
        </row>
        <row r="399">
          <cell r="P399" t="str">
            <v xml:space="preserve"> </v>
          </cell>
          <cell r="Q399">
            <v>0</v>
          </cell>
          <cell r="U399">
            <v>0</v>
          </cell>
          <cell r="V399">
            <v>0</v>
          </cell>
          <cell r="W399">
            <v>0</v>
          </cell>
        </row>
        <row r="400">
          <cell r="P400" t="str">
            <v xml:space="preserve"> </v>
          </cell>
          <cell r="Q400">
            <v>0</v>
          </cell>
          <cell r="U400">
            <v>0</v>
          </cell>
          <cell r="V400">
            <v>0</v>
          </cell>
          <cell r="W400">
            <v>0</v>
          </cell>
        </row>
        <row r="401">
          <cell r="P401" t="str">
            <v xml:space="preserve"> </v>
          </cell>
          <cell r="Q401">
            <v>0</v>
          </cell>
          <cell r="U401">
            <v>0</v>
          </cell>
          <cell r="V401">
            <v>0</v>
          </cell>
          <cell r="W401">
            <v>0</v>
          </cell>
        </row>
        <row r="402">
          <cell r="P402" t="str">
            <v xml:space="preserve"> </v>
          </cell>
          <cell r="Q402">
            <v>0</v>
          </cell>
          <cell r="U402">
            <v>0</v>
          </cell>
          <cell r="V402">
            <v>0</v>
          </cell>
          <cell r="W402">
            <v>0</v>
          </cell>
        </row>
        <row r="403">
          <cell r="P403" t="str">
            <v xml:space="preserve"> </v>
          </cell>
          <cell r="Q403">
            <v>0</v>
          </cell>
          <cell r="U403">
            <v>0</v>
          </cell>
          <cell r="V403">
            <v>0</v>
          </cell>
          <cell r="W403">
            <v>0</v>
          </cell>
        </row>
        <row r="404">
          <cell r="P404" t="str">
            <v xml:space="preserve"> </v>
          </cell>
          <cell r="Q404">
            <v>0</v>
          </cell>
          <cell r="U404">
            <v>0</v>
          </cell>
          <cell r="V404">
            <v>0</v>
          </cell>
          <cell r="W404">
            <v>0</v>
          </cell>
        </row>
        <row r="405">
          <cell r="P405" t="str">
            <v xml:space="preserve"> </v>
          </cell>
          <cell r="Q405">
            <v>0</v>
          </cell>
          <cell r="U405">
            <v>0</v>
          </cell>
          <cell r="V405">
            <v>0</v>
          </cell>
          <cell r="W405">
            <v>0</v>
          </cell>
        </row>
        <row r="406">
          <cell r="P406" t="str">
            <v xml:space="preserve"> </v>
          </cell>
          <cell r="Q406">
            <v>0</v>
          </cell>
          <cell r="U406">
            <v>0</v>
          </cell>
          <cell r="V406">
            <v>0</v>
          </cell>
          <cell r="W406">
            <v>0</v>
          </cell>
        </row>
        <row r="407">
          <cell r="P407" t="str">
            <v xml:space="preserve"> </v>
          </cell>
          <cell r="Q407">
            <v>0</v>
          </cell>
          <cell r="U407">
            <v>0</v>
          </cell>
          <cell r="V407">
            <v>0</v>
          </cell>
          <cell r="W407">
            <v>0</v>
          </cell>
        </row>
        <row r="408">
          <cell r="P408" t="str">
            <v xml:space="preserve"> </v>
          </cell>
          <cell r="Q408">
            <v>0</v>
          </cell>
          <cell r="U408">
            <v>0</v>
          </cell>
          <cell r="V408">
            <v>0</v>
          </cell>
          <cell r="W408">
            <v>0</v>
          </cell>
        </row>
        <row r="409">
          <cell r="P409" t="str">
            <v xml:space="preserve"> </v>
          </cell>
          <cell r="Q409">
            <v>0</v>
          </cell>
          <cell r="U409">
            <v>0</v>
          </cell>
          <cell r="V409">
            <v>0</v>
          </cell>
          <cell r="W409">
            <v>0</v>
          </cell>
        </row>
        <row r="410">
          <cell r="P410" t="str">
            <v xml:space="preserve"> </v>
          </cell>
          <cell r="Q410">
            <v>0</v>
          </cell>
          <cell r="U410">
            <v>0</v>
          </cell>
          <cell r="V410">
            <v>0</v>
          </cell>
          <cell r="W410">
            <v>0</v>
          </cell>
        </row>
        <row r="411">
          <cell r="P411" t="str">
            <v xml:space="preserve"> </v>
          </cell>
          <cell r="Q411">
            <v>0</v>
          </cell>
          <cell r="U411">
            <v>0</v>
          </cell>
          <cell r="V411">
            <v>0</v>
          </cell>
          <cell r="W411">
            <v>0</v>
          </cell>
        </row>
        <row r="412">
          <cell r="P412" t="str">
            <v xml:space="preserve"> </v>
          </cell>
          <cell r="Q412">
            <v>0</v>
          </cell>
          <cell r="U412">
            <v>0</v>
          </cell>
          <cell r="V412">
            <v>0</v>
          </cell>
          <cell r="W412">
            <v>0</v>
          </cell>
        </row>
        <row r="413">
          <cell r="P413" t="str">
            <v xml:space="preserve"> </v>
          </cell>
          <cell r="Q413">
            <v>0</v>
          </cell>
          <cell r="U413">
            <v>0</v>
          </cell>
          <cell r="V413">
            <v>0</v>
          </cell>
          <cell r="W413">
            <v>0</v>
          </cell>
        </row>
        <row r="414">
          <cell r="P414" t="str">
            <v xml:space="preserve"> </v>
          </cell>
          <cell r="Q414">
            <v>0</v>
          </cell>
          <cell r="U414">
            <v>0</v>
          </cell>
          <cell r="V414">
            <v>0</v>
          </cell>
          <cell r="W414">
            <v>0</v>
          </cell>
        </row>
        <row r="415">
          <cell r="P415" t="str">
            <v xml:space="preserve"> </v>
          </cell>
          <cell r="Q415">
            <v>0</v>
          </cell>
          <cell r="U415">
            <v>0</v>
          </cell>
          <cell r="V415">
            <v>0</v>
          </cell>
          <cell r="W415">
            <v>0</v>
          </cell>
        </row>
        <row r="416">
          <cell r="P416" t="str">
            <v xml:space="preserve"> </v>
          </cell>
          <cell r="Q416">
            <v>0</v>
          </cell>
          <cell r="U416">
            <v>0</v>
          </cell>
          <cell r="V416">
            <v>0</v>
          </cell>
          <cell r="W416">
            <v>0</v>
          </cell>
        </row>
        <row r="417">
          <cell r="P417" t="str">
            <v xml:space="preserve"> </v>
          </cell>
          <cell r="Q417">
            <v>0</v>
          </cell>
          <cell r="U417">
            <v>0</v>
          </cell>
          <cell r="V417">
            <v>0</v>
          </cell>
          <cell r="W417">
            <v>0</v>
          </cell>
        </row>
        <row r="418">
          <cell r="P418" t="str">
            <v xml:space="preserve"> </v>
          </cell>
          <cell r="Q418">
            <v>0</v>
          </cell>
          <cell r="U418">
            <v>0</v>
          </cell>
          <cell r="V418">
            <v>0</v>
          </cell>
          <cell r="W418">
            <v>0</v>
          </cell>
        </row>
        <row r="419">
          <cell r="P419" t="str">
            <v xml:space="preserve"> </v>
          </cell>
          <cell r="Q419">
            <v>0</v>
          </cell>
          <cell r="U419">
            <v>0</v>
          </cell>
          <cell r="V419">
            <v>0</v>
          </cell>
          <cell r="W419">
            <v>0</v>
          </cell>
        </row>
        <row r="420">
          <cell r="P420" t="str">
            <v xml:space="preserve"> </v>
          </cell>
          <cell r="Q420">
            <v>0</v>
          </cell>
          <cell r="U420">
            <v>0</v>
          </cell>
          <cell r="V420">
            <v>0</v>
          </cell>
          <cell r="W420">
            <v>0</v>
          </cell>
        </row>
        <row r="421">
          <cell r="P421" t="str">
            <v xml:space="preserve"> </v>
          </cell>
          <cell r="Q421">
            <v>0</v>
          </cell>
          <cell r="U421">
            <v>0</v>
          </cell>
          <cell r="V421">
            <v>0</v>
          </cell>
          <cell r="W421">
            <v>0</v>
          </cell>
        </row>
        <row r="422">
          <cell r="P422" t="str">
            <v xml:space="preserve"> </v>
          </cell>
          <cell r="Q422">
            <v>0</v>
          </cell>
          <cell r="U422">
            <v>0</v>
          </cell>
          <cell r="V422">
            <v>0</v>
          </cell>
          <cell r="W422">
            <v>0</v>
          </cell>
        </row>
        <row r="423">
          <cell r="P423" t="str">
            <v xml:space="preserve"> </v>
          </cell>
          <cell r="Q423">
            <v>0</v>
          </cell>
          <cell r="U423">
            <v>0</v>
          </cell>
          <cell r="V423">
            <v>0</v>
          </cell>
          <cell r="W423">
            <v>0</v>
          </cell>
        </row>
        <row r="424">
          <cell r="P424" t="str">
            <v xml:space="preserve"> </v>
          </cell>
          <cell r="Q424">
            <v>0</v>
          </cell>
          <cell r="U424">
            <v>0</v>
          </cell>
          <cell r="V424">
            <v>0</v>
          </cell>
          <cell r="W424">
            <v>0</v>
          </cell>
        </row>
        <row r="425">
          <cell r="P425" t="str">
            <v xml:space="preserve"> </v>
          </cell>
          <cell r="Q425">
            <v>0</v>
          </cell>
          <cell r="U425">
            <v>0</v>
          </cell>
          <cell r="V425">
            <v>0</v>
          </cell>
          <cell r="W425">
            <v>0</v>
          </cell>
        </row>
        <row r="426">
          <cell r="P426" t="str">
            <v xml:space="preserve"> </v>
          </cell>
          <cell r="Q426">
            <v>0</v>
          </cell>
          <cell r="U426">
            <v>0</v>
          </cell>
          <cell r="V426">
            <v>0</v>
          </cell>
          <cell r="W426">
            <v>0</v>
          </cell>
        </row>
        <row r="427">
          <cell r="P427" t="str">
            <v xml:space="preserve"> </v>
          </cell>
          <cell r="Q427">
            <v>0</v>
          </cell>
          <cell r="U427">
            <v>0</v>
          </cell>
          <cell r="V427">
            <v>0</v>
          </cell>
          <cell r="W427">
            <v>0</v>
          </cell>
        </row>
        <row r="428">
          <cell r="P428" t="str">
            <v xml:space="preserve"> </v>
          </cell>
          <cell r="Q428">
            <v>0</v>
          </cell>
          <cell r="U428">
            <v>0</v>
          </cell>
          <cell r="V428">
            <v>0</v>
          </cell>
          <cell r="W428">
            <v>0</v>
          </cell>
        </row>
        <row r="429">
          <cell r="P429" t="str">
            <v xml:space="preserve"> </v>
          </cell>
          <cell r="Q429">
            <v>0</v>
          </cell>
          <cell r="U429">
            <v>0</v>
          </cell>
          <cell r="V429">
            <v>0</v>
          </cell>
          <cell r="W429">
            <v>0</v>
          </cell>
        </row>
        <row r="430">
          <cell r="P430" t="str">
            <v xml:space="preserve"> </v>
          </cell>
          <cell r="Q430">
            <v>0</v>
          </cell>
          <cell r="U430">
            <v>0</v>
          </cell>
          <cell r="V430">
            <v>0</v>
          </cell>
          <cell r="W430">
            <v>0</v>
          </cell>
        </row>
        <row r="431">
          <cell r="P431" t="str">
            <v xml:space="preserve"> </v>
          </cell>
          <cell r="Q431">
            <v>0</v>
          </cell>
          <cell r="U431">
            <v>0</v>
          </cell>
          <cell r="V431">
            <v>0</v>
          </cell>
          <cell r="W431">
            <v>0</v>
          </cell>
        </row>
        <row r="432">
          <cell r="P432" t="str">
            <v xml:space="preserve"> </v>
          </cell>
          <cell r="Q432">
            <v>0</v>
          </cell>
          <cell r="U432">
            <v>0</v>
          </cell>
          <cell r="V432">
            <v>0</v>
          </cell>
          <cell r="W432">
            <v>0</v>
          </cell>
        </row>
        <row r="433">
          <cell r="P433" t="str">
            <v xml:space="preserve"> </v>
          </cell>
          <cell r="Q433">
            <v>0</v>
          </cell>
          <cell r="U433">
            <v>0</v>
          </cell>
          <cell r="V433">
            <v>0</v>
          </cell>
          <cell r="W433">
            <v>0</v>
          </cell>
        </row>
        <row r="434">
          <cell r="P434" t="str">
            <v xml:space="preserve"> </v>
          </cell>
          <cell r="Q434">
            <v>0</v>
          </cell>
          <cell r="U434">
            <v>0</v>
          </cell>
          <cell r="V434">
            <v>0</v>
          </cell>
          <cell r="W434">
            <v>0</v>
          </cell>
        </row>
        <row r="435">
          <cell r="P435" t="str">
            <v xml:space="preserve"> </v>
          </cell>
          <cell r="Q435">
            <v>0</v>
          </cell>
          <cell r="U435">
            <v>0</v>
          </cell>
          <cell r="V435">
            <v>0</v>
          </cell>
          <cell r="W435">
            <v>0</v>
          </cell>
        </row>
        <row r="436">
          <cell r="P436" t="str">
            <v xml:space="preserve"> </v>
          </cell>
          <cell r="Q436">
            <v>0</v>
          </cell>
          <cell r="U436">
            <v>0</v>
          </cell>
          <cell r="V436">
            <v>0</v>
          </cell>
          <cell r="W436">
            <v>0</v>
          </cell>
        </row>
        <row r="437">
          <cell r="P437" t="str">
            <v xml:space="preserve"> </v>
          </cell>
          <cell r="Q437">
            <v>0</v>
          </cell>
          <cell r="U437">
            <v>0</v>
          </cell>
          <cell r="V437">
            <v>0</v>
          </cell>
          <cell r="W437">
            <v>0</v>
          </cell>
        </row>
        <row r="438">
          <cell r="P438" t="str">
            <v xml:space="preserve"> </v>
          </cell>
          <cell r="Q438">
            <v>0</v>
          </cell>
          <cell r="U438">
            <v>0</v>
          </cell>
          <cell r="V438">
            <v>0</v>
          </cell>
          <cell r="W438">
            <v>0</v>
          </cell>
        </row>
        <row r="439">
          <cell r="P439" t="str">
            <v xml:space="preserve"> </v>
          </cell>
          <cell r="Q439">
            <v>0</v>
          </cell>
          <cell r="U439">
            <v>0</v>
          </cell>
          <cell r="V439">
            <v>0</v>
          </cell>
          <cell r="W439">
            <v>0</v>
          </cell>
        </row>
        <row r="440">
          <cell r="P440" t="str">
            <v xml:space="preserve"> </v>
          </cell>
          <cell r="Q440">
            <v>0</v>
          </cell>
          <cell r="U440">
            <v>0</v>
          </cell>
          <cell r="V440">
            <v>0</v>
          </cell>
          <cell r="W440">
            <v>0</v>
          </cell>
        </row>
        <row r="441">
          <cell r="P441" t="str">
            <v xml:space="preserve"> </v>
          </cell>
          <cell r="Q441">
            <v>0</v>
          </cell>
          <cell r="U441">
            <v>0</v>
          </cell>
          <cell r="V441">
            <v>0</v>
          </cell>
          <cell r="W441">
            <v>0</v>
          </cell>
        </row>
        <row r="442">
          <cell r="P442" t="str">
            <v xml:space="preserve"> </v>
          </cell>
          <cell r="Q442">
            <v>0</v>
          </cell>
          <cell r="U442">
            <v>0</v>
          </cell>
          <cell r="V442">
            <v>0</v>
          </cell>
          <cell r="W442">
            <v>0</v>
          </cell>
        </row>
        <row r="443">
          <cell r="P443" t="str">
            <v xml:space="preserve"> </v>
          </cell>
          <cell r="Q443">
            <v>0</v>
          </cell>
          <cell r="U443">
            <v>0</v>
          </cell>
          <cell r="V443">
            <v>0</v>
          </cell>
          <cell r="W443">
            <v>0</v>
          </cell>
        </row>
        <row r="444">
          <cell r="P444" t="str">
            <v xml:space="preserve"> </v>
          </cell>
          <cell r="Q444">
            <v>0</v>
          </cell>
          <cell r="U444">
            <v>0</v>
          </cell>
          <cell r="V444">
            <v>0</v>
          </cell>
          <cell r="W444">
            <v>0</v>
          </cell>
        </row>
        <row r="445">
          <cell r="P445" t="str">
            <v xml:space="preserve"> </v>
          </cell>
          <cell r="Q445">
            <v>0</v>
          </cell>
          <cell r="U445">
            <v>0</v>
          </cell>
          <cell r="V445">
            <v>0</v>
          </cell>
          <cell r="W445">
            <v>0</v>
          </cell>
        </row>
        <row r="446">
          <cell r="P446" t="str">
            <v xml:space="preserve"> </v>
          </cell>
          <cell r="Q446">
            <v>0</v>
          </cell>
          <cell r="U446">
            <v>0</v>
          </cell>
          <cell r="V446">
            <v>0</v>
          </cell>
          <cell r="W446">
            <v>0</v>
          </cell>
        </row>
        <row r="447">
          <cell r="P447" t="str">
            <v xml:space="preserve"> </v>
          </cell>
          <cell r="Q447">
            <v>0</v>
          </cell>
          <cell r="U447">
            <v>0</v>
          </cell>
          <cell r="V447">
            <v>0</v>
          </cell>
          <cell r="W447">
            <v>0</v>
          </cell>
        </row>
        <row r="448">
          <cell r="P448" t="str">
            <v xml:space="preserve"> </v>
          </cell>
          <cell r="Q448">
            <v>0</v>
          </cell>
          <cell r="U448">
            <v>0</v>
          </cell>
          <cell r="V448">
            <v>0</v>
          </cell>
          <cell r="W448">
            <v>0</v>
          </cell>
        </row>
        <row r="449">
          <cell r="P449" t="str">
            <v xml:space="preserve"> </v>
          </cell>
          <cell r="Q449">
            <v>0</v>
          </cell>
          <cell r="U449">
            <v>0</v>
          </cell>
          <cell r="V449">
            <v>0</v>
          </cell>
          <cell r="W449">
            <v>0</v>
          </cell>
        </row>
        <row r="450">
          <cell r="P450" t="str">
            <v xml:space="preserve"> </v>
          </cell>
          <cell r="Q450">
            <v>0</v>
          </cell>
          <cell r="U450">
            <v>0</v>
          </cell>
          <cell r="V450">
            <v>0</v>
          </cell>
          <cell r="W450">
            <v>0</v>
          </cell>
        </row>
        <row r="451">
          <cell r="P451" t="str">
            <v xml:space="preserve"> </v>
          </cell>
          <cell r="Q451">
            <v>0</v>
          </cell>
          <cell r="U451">
            <v>0</v>
          </cell>
          <cell r="V451">
            <v>0</v>
          </cell>
          <cell r="W451">
            <v>0</v>
          </cell>
        </row>
        <row r="452">
          <cell r="P452" t="str">
            <v xml:space="preserve"> </v>
          </cell>
          <cell r="Q452">
            <v>0</v>
          </cell>
          <cell r="U452">
            <v>0</v>
          </cell>
          <cell r="V452">
            <v>0</v>
          </cell>
          <cell r="W452">
            <v>0</v>
          </cell>
        </row>
        <row r="453">
          <cell r="P453" t="str">
            <v xml:space="preserve"> </v>
          </cell>
          <cell r="Q453">
            <v>0</v>
          </cell>
          <cell r="U453">
            <v>0</v>
          </cell>
          <cell r="V453">
            <v>0</v>
          </cell>
          <cell r="W453">
            <v>0</v>
          </cell>
        </row>
        <row r="454">
          <cell r="P454" t="str">
            <v xml:space="preserve"> </v>
          </cell>
          <cell r="Q454">
            <v>0</v>
          </cell>
          <cell r="U454">
            <v>0</v>
          </cell>
          <cell r="V454">
            <v>0</v>
          </cell>
          <cell r="W454">
            <v>0</v>
          </cell>
        </row>
        <row r="455">
          <cell r="P455" t="str">
            <v xml:space="preserve"> </v>
          </cell>
          <cell r="Q455">
            <v>0</v>
          </cell>
          <cell r="U455">
            <v>0</v>
          </cell>
          <cell r="V455">
            <v>0</v>
          </cell>
          <cell r="W455">
            <v>0</v>
          </cell>
        </row>
        <row r="456">
          <cell r="P456" t="str">
            <v xml:space="preserve"> </v>
          </cell>
          <cell r="Q456">
            <v>0</v>
          </cell>
          <cell r="U456">
            <v>0</v>
          </cell>
          <cell r="V456">
            <v>0</v>
          </cell>
          <cell r="W456">
            <v>0</v>
          </cell>
        </row>
        <row r="457">
          <cell r="P457" t="str">
            <v xml:space="preserve"> </v>
          </cell>
          <cell r="Q457">
            <v>0</v>
          </cell>
          <cell r="U457">
            <v>0</v>
          </cell>
          <cell r="V457">
            <v>0</v>
          </cell>
          <cell r="W457">
            <v>0</v>
          </cell>
        </row>
        <row r="458">
          <cell r="P458" t="str">
            <v xml:space="preserve"> </v>
          </cell>
          <cell r="Q458">
            <v>0</v>
          </cell>
          <cell r="U458">
            <v>0</v>
          </cell>
          <cell r="V458">
            <v>0</v>
          </cell>
          <cell r="W458">
            <v>0</v>
          </cell>
        </row>
        <row r="459">
          <cell r="P459" t="str">
            <v xml:space="preserve"> </v>
          </cell>
          <cell r="Q459">
            <v>0</v>
          </cell>
          <cell r="U459">
            <v>0</v>
          </cell>
          <cell r="V459">
            <v>0</v>
          </cell>
          <cell r="W459">
            <v>0</v>
          </cell>
        </row>
        <row r="460">
          <cell r="P460" t="str">
            <v xml:space="preserve"> </v>
          </cell>
          <cell r="Q460">
            <v>0</v>
          </cell>
          <cell r="U460">
            <v>0</v>
          </cell>
          <cell r="V460">
            <v>0</v>
          </cell>
          <cell r="W460">
            <v>0</v>
          </cell>
        </row>
        <row r="461">
          <cell r="P461" t="str">
            <v xml:space="preserve"> </v>
          </cell>
          <cell r="Q461">
            <v>0</v>
          </cell>
          <cell r="U461">
            <v>0</v>
          </cell>
          <cell r="V461">
            <v>0</v>
          </cell>
          <cell r="W461">
            <v>0</v>
          </cell>
        </row>
        <row r="462">
          <cell r="P462" t="str">
            <v xml:space="preserve"> </v>
          </cell>
          <cell r="Q462">
            <v>0</v>
          </cell>
          <cell r="U462">
            <v>0</v>
          </cell>
          <cell r="V462">
            <v>0</v>
          </cell>
          <cell r="W462">
            <v>0</v>
          </cell>
        </row>
        <row r="463">
          <cell r="P463" t="str">
            <v xml:space="preserve"> </v>
          </cell>
          <cell r="Q463">
            <v>0</v>
          </cell>
          <cell r="U463">
            <v>0</v>
          </cell>
          <cell r="V463">
            <v>0</v>
          </cell>
          <cell r="W463">
            <v>0</v>
          </cell>
        </row>
        <row r="464">
          <cell r="P464" t="str">
            <v xml:space="preserve"> </v>
          </cell>
          <cell r="Q464">
            <v>0</v>
          </cell>
          <cell r="U464">
            <v>0</v>
          </cell>
          <cell r="V464">
            <v>0</v>
          </cell>
          <cell r="W464">
            <v>0</v>
          </cell>
        </row>
        <row r="465">
          <cell r="P465" t="str">
            <v xml:space="preserve"> </v>
          </cell>
          <cell r="Q465">
            <v>0</v>
          </cell>
          <cell r="U465">
            <v>0</v>
          </cell>
          <cell r="V465">
            <v>0</v>
          </cell>
          <cell r="W465">
            <v>0</v>
          </cell>
        </row>
        <row r="466">
          <cell r="P466" t="str">
            <v xml:space="preserve"> </v>
          </cell>
          <cell r="Q466">
            <v>0</v>
          </cell>
          <cell r="U466">
            <v>0</v>
          </cell>
          <cell r="V466">
            <v>0</v>
          </cell>
          <cell r="W466">
            <v>0</v>
          </cell>
        </row>
        <row r="467">
          <cell r="P467" t="str">
            <v xml:space="preserve"> </v>
          </cell>
          <cell r="Q467">
            <v>0</v>
          </cell>
          <cell r="U467">
            <v>0</v>
          </cell>
          <cell r="V467">
            <v>0</v>
          </cell>
          <cell r="W467">
            <v>0</v>
          </cell>
        </row>
        <row r="468">
          <cell r="P468" t="str">
            <v xml:space="preserve"> </v>
          </cell>
          <cell r="Q468">
            <v>0</v>
          </cell>
          <cell r="U468">
            <v>0</v>
          </cell>
          <cell r="V468">
            <v>0</v>
          </cell>
          <cell r="W468">
            <v>0</v>
          </cell>
        </row>
        <row r="469">
          <cell r="P469" t="str">
            <v xml:space="preserve"> </v>
          </cell>
          <cell r="Q469">
            <v>0</v>
          </cell>
          <cell r="U469">
            <v>0</v>
          </cell>
          <cell r="V469">
            <v>0</v>
          </cell>
          <cell r="W469">
            <v>0</v>
          </cell>
        </row>
        <row r="470">
          <cell r="P470" t="str">
            <v xml:space="preserve"> </v>
          </cell>
          <cell r="Q470">
            <v>0</v>
          </cell>
          <cell r="U470">
            <v>0</v>
          </cell>
          <cell r="V470">
            <v>0</v>
          </cell>
          <cell r="W470">
            <v>0</v>
          </cell>
        </row>
        <row r="471">
          <cell r="P471" t="str">
            <v xml:space="preserve"> </v>
          </cell>
          <cell r="Q471">
            <v>0</v>
          </cell>
          <cell r="U471">
            <v>0</v>
          </cell>
          <cell r="V471">
            <v>0</v>
          </cell>
          <cell r="W471">
            <v>0</v>
          </cell>
        </row>
        <row r="472">
          <cell r="P472" t="str">
            <v xml:space="preserve"> </v>
          </cell>
          <cell r="Q472">
            <v>0</v>
          </cell>
          <cell r="U472">
            <v>0</v>
          </cell>
          <cell r="V472">
            <v>0</v>
          </cell>
          <cell r="W472">
            <v>0</v>
          </cell>
        </row>
        <row r="473">
          <cell r="P473" t="str">
            <v xml:space="preserve"> </v>
          </cell>
          <cell r="Q473">
            <v>0</v>
          </cell>
          <cell r="U473">
            <v>0</v>
          </cell>
          <cell r="V473">
            <v>0</v>
          </cell>
          <cell r="W473">
            <v>0</v>
          </cell>
        </row>
        <row r="474">
          <cell r="P474" t="str">
            <v xml:space="preserve"> </v>
          </cell>
          <cell r="Q474">
            <v>0</v>
          </cell>
          <cell r="U474">
            <v>0</v>
          </cell>
          <cell r="V474">
            <v>0</v>
          </cell>
          <cell r="W474">
            <v>0</v>
          </cell>
        </row>
        <row r="475">
          <cell r="P475" t="str">
            <v xml:space="preserve"> </v>
          </cell>
          <cell r="Q475">
            <v>0</v>
          </cell>
          <cell r="U475">
            <v>0</v>
          </cell>
          <cell r="V475">
            <v>0</v>
          </cell>
          <cell r="W475">
            <v>0</v>
          </cell>
        </row>
        <row r="476">
          <cell r="P476" t="str">
            <v xml:space="preserve"> </v>
          </cell>
          <cell r="Q476">
            <v>0</v>
          </cell>
          <cell r="U476">
            <v>0</v>
          </cell>
          <cell r="V476">
            <v>0</v>
          </cell>
          <cell r="W476">
            <v>0</v>
          </cell>
        </row>
        <row r="477">
          <cell r="P477" t="str">
            <v xml:space="preserve"> </v>
          </cell>
          <cell r="Q477">
            <v>0</v>
          </cell>
          <cell r="U477">
            <v>0</v>
          </cell>
          <cell r="V477">
            <v>0</v>
          </cell>
          <cell r="W477">
            <v>0</v>
          </cell>
        </row>
        <row r="478">
          <cell r="P478" t="str">
            <v xml:space="preserve"> </v>
          </cell>
          <cell r="Q478">
            <v>0</v>
          </cell>
          <cell r="U478">
            <v>0</v>
          </cell>
          <cell r="V478">
            <v>0</v>
          </cell>
          <cell r="W478">
            <v>0</v>
          </cell>
        </row>
        <row r="479">
          <cell r="P479" t="str">
            <v xml:space="preserve"> </v>
          </cell>
          <cell r="Q479">
            <v>0</v>
          </cell>
          <cell r="U479">
            <v>0</v>
          </cell>
          <cell r="V479">
            <v>0</v>
          </cell>
          <cell r="W479">
            <v>0</v>
          </cell>
        </row>
        <row r="480">
          <cell r="P480" t="str">
            <v xml:space="preserve"> </v>
          </cell>
          <cell r="Q480">
            <v>0</v>
          </cell>
          <cell r="U480">
            <v>0</v>
          </cell>
          <cell r="V480">
            <v>0</v>
          </cell>
          <cell r="W480">
            <v>0</v>
          </cell>
        </row>
        <row r="481">
          <cell r="P481" t="str">
            <v xml:space="preserve"> </v>
          </cell>
          <cell r="Q481">
            <v>0</v>
          </cell>
          <cell r="U481">
            <v>0</v>
          </cell>
          <cell r="V481">
            <v>0</v>
          </cell>
          <cell r="W481">
            <v>0</v>
          </cell>
        </row>
        <row r="482">
          <cell r="P482" t="str">
            <v xml:space="preserve"> </v>
          </cell>
          <cell r="Q482">
            <v>0</v>
          </cell>
          <cell r="U482">
            <v>0</v>
          </cell>
          <cell r="V482">
            <v>0</v>
          </cell>
          <cell r="W482">
            <v>0</v>
          </cell>
        </row>
        <row r="483">
          <cell r="P483" t="str">
            <v xml:space="preserve"> </v>
          </cell>
          <cell r="Q483">
            <v>0</v>
          </cell>
          <cell r="U483">
            <v>0</v>
          </cell>
          <cell r="V483">
            <v>0</v>
          </cell>
          <cell r="W483">
            <v>0</v>
          </cell>
        </row>
        <row r="484">
          <cell r="P484" t="str">
            <v xml:space="preserve"> </v>
          </cell>
          <cell r="Q484">
            <v>0</v>
          </cell>
          <cell r="U484">
            <v>0</v>
          </cell>
          <cell r="V484">
            <v>0</v>
          </cell>
          <cell r="W484">
            <v>0</v>
          </cell>
        </row>
        <row r="485">
          <cell r="P485" t="str">
            <v xml:space="preserve"> </v>
          </cell>
          <cell r="Q485">
            <v>0</v>
          </cell>
          <cell r="U485">
            <v>0</v>
          </cell>
          <cell r="V485">
            <v>0</v>
          </cell>
          <cell r="W485">
            <v>0</v>
          </cell>
        </row>
        <row r="486">
          <cell r="P486" t="str">
            <v xml:space="preserve"> </v>
          </cell>
          <cell r="Q486">
            <v>0</v>
          </cell>
          <cell r="U486">
            <v>0</v>
          </cell>
          <cell r="V486">
            <v>0</v>
          </cell>
          <cell r="W486">
            <v>0</v>
          </cell>
        </row>
        <row r="487">
          <cell r="P487" t="str">
            <v xml:space="preserve"> </v>
          </cell>
          <cell r="Q487">
            <v>0</v>
          </cell>
          <cell r="U487">
            <v>0</v>
          </cell>
          <cell r="V487">
            <v>0</v>
          </cell>
          <cell r="W487">
            <v>0</v>
          </cell>
        </row>
        <row r="488">
          <cell r="P488" t="str">
            <v xml:space="preserve"> </v>
          </cell>
          <cell r="Q488">
            <v>0</v>
          </cell>
          <cell r="U488">
            <v>0</v>
          </cell>
          <cell r="V488">
            <v>0</v>
          </cell>
          <cell r="W488">
            <v>0</v>
          </cell>
        </row>
        <row r="489">
          <cell r="P489" t="str">
            <v xml:space="preserve"> </v>
          </cell>
          <cell r="Q489">
            <v>0</v>
          </cell>
          <cell r="U489">
            <v>0</v>
          </cell>
          <cell r="V489">
            <v>0</v>
          </cell>
          <cell r="W489">
            <v>0</v>
          </cell>
        </row>
        <row r="490">
          <cell r="P490" t="str">
            <v xml:space="preserve"> </v>
          </cell>
          <cell r="Q490">
            <v>0</v>
          </cell>
          <cell r="U490">
            <v>0</v>
          </cell>
          <cell r="V490">
            <v>0</v>
          </cell>
          <cell r="W490">
            <v>0</v>
          </cell>
        </row>
        <row r="491">
          <cell r="P491" t="str">
            <v xml:space="preserve"> </v>
          </cell>
          <cell r="Q491">
            <v>0</v>
          </cell>
          <cell r="U491">
            <v>0</v>
          </cell>
          <cell r="V491">
            <v>0</v>
          </cell>
          <cell r="W491">
            <v>0</v>
          </cell>
        </row>
        <row r="492">
          <cell r="P492" t="str">
            <v xml:space="preserve"> </v>
          </cell>
          <cell r="Q492">
            <v>0</v>
          </cell>
          <cell r="U492">
            <v>0</v>
          </cell>
          <cell r="V492">
            <v>0</v>
          </cell>
          <cell r="W492">
            <v>0</v>
          </cell>
        </row>
        <row r="493">
          <cell r="P493" t="str">
            <v xml:space="preserve"> </v>
          </cell>
          <cell r="Q493">
            <v>0</v>
          </cell>
          <cell r="U493">
            <v>0</v>
          </cell>
          <cell r="V493">
            <v>0</v>
          </cell>
          <cell r="W493">
            <v>0</v>
          </cell>
        </row>
        <row r="494">
          <cell r="P494" t="str">
            <v xml:space="preserve"> </v>
          </cell>
          <cell r="Q494">
            <v>0</v>
          </cell>
          <cell r="U494">
            <v>0</v>
          </cell>
          <cell r="V494">
            <v>0</v>
          </cell>
          <cell r="W494">
            <v>0</v>
          </cell>
        </row>
        <row r="495">
          <cell r="P495" t="str">
            <v xml:space="preserve"> </v>
          </cell>
          <cell r="Q495">
            <v>0</v>
          </cell>
          <cell r="U495">
            <v>0</v>
          </cell>
          <cell r="V495">
            <v>0</v>
          </cell>
          <cell r="W495">
            <v>0</v>
          </cell>
        </row>
        <row r="496">
          <cell r="P496" t="str">
            <v xml:space="preserve"> </v>
          </cell>
          <cell r="Q496">
            <v>0</v>
          </cell>
          <cell r="U496">
            <v>0</v>
          </cell>
          <cell r="V496">
            <v>0</v>
          </cell>
          <cell r="W496">
            <v>0</v>
          </cell>
        </row>
        <row r="497">
          <cell r="P497" t="str">
            <v xml:space="preserve"> </v>
          </cell>
          <cell r="Q497">
            <v>0</v>
          </cell>
          <cell r="U497">
            <v>0</v>
          </cell>
          <cell r="V497">
            <v>0</v>
          </cell>
          <cell r="W497">
            <v>0</v>
          </cell>
        </row>
        <row r="498">
          <cell r="P498" t="str">
            <v xml:space="preserve"> </v>
          </cell>
          <cell r="Q498">
            <v>0</v>
          </cell>
          <cell r="U498">
            <v>0</v>
          </cell>
          <cell r="V498">
            <v>0</v>
          </cell>
          <cell r="W498">
            <v>0</v>
          </cell>
        </row>
        <row r="499">
          <cell r="P499" t="str">
            <v xml:space="preserve"> </v>
          </cell>
          <cell r="Q499">
            <v>0</v>
          </cell>
          <cell r="U499">
            <v>0</v>
          </cell>
          <cell r="V499">
            <v>0</v>
          </cell>
          <cell r="W499">
            <v>0</v>
          </cell>
        </row>
        <row r="500">
          <cell r="P500" t="str">
            <v xml:space="preserve"> </v>
          </cell>
          <cell r="Q500">
            <v>0</v>
          </cell>
          <cell r="U500">
            <v>0</v>
          </cell>
          <cell r="V500">
            <v>0</v>
          </cell>
          <cell r="W500">
            <v>0</v>
          </cell>
        </row>
        <row r="501">
          <cell r="P501" t="str">
            <v xml:space="preserve"> </v>
          </cell>
          <cell r="Q501">
            <v>0</v>
          </cell>
          <cell r="U501">
            <v>0</v>
          </cell>
          <cell r="V501">
            <v>0</v>
          </cell>
          <cell r="W501">
            <v>0</v>
          </cell>
        </row>
        <row r="502">
          <cell r="P502" t="str">
            <v xml:space="preserve"> </v>
          </cell>
          <cell r="Q502">
            <v>0</v>
          </cell>
          <cell r="U502">
            <v>0</v>
          </cell>
          <cell r="V502">
            <v>0</v>
          </cell>
          <cell r="W502">
            <v>0</v>
          </cell>
        </row>
        <row r="503">
          <cell r="P503" t="str">
            <v xml:space="preserve"> </v>
          </cell>
          <cell r="Q503">
            <v>0</v>
          </cell>
          <cell r="U503">
            <v>0</v>
          </cell>
          <cell r="V503">
            <v>0</v>
          </cell>
          <cell r="W503">
            <v>0</v>
          </cell>
        </row>
        <row r="504">
          <cell r="P504" t="str">
            <v xml:space="preserve"> </v>
          </cell>
          <cell r="Q504">
            <v>0</v>
          </cell>
          <cell r="U504">
            <v>0</v>
          </cell>
          <cell r="V504">
            <v>0</v>
          </cell>
          <cell r="W504">
            <v>0</v>
          </cell>
        </row>
        <row r="505">
          <cell r="P505" t="str">
            <v xml:space="preserve"> </v>
          </cell>
          <cell r="Q505">
            <v>0</v>
          </cell>
          <cell r="U505">
            <v>0</v>
          </cell>
          <cell r="V505">
            <v>0</v>
          </cell>
          <cell r="W505">
            <v>0</v>
          </cell>
        </row>
        <row r="506">
          <cell r="P506" t="str">
            <v xml:space="preserve"> </v>
          </cell>
          <cell r="Q506">
            <v>0</v>
          </cell>
          <cell r="U506">
            <v>0</v>
          </cell>
          <cell r="V506">
            <v>0</v>
          </cell>
          <cell r="W506">
            <v>0</v>
          </cell>
        </row>
        <row r="507">
          <cell r="P507" t="str">
            <v xml:space="preserve"> </v>
          </cell>
          <cell r="Q507">
            <v>0</v>
          </cell>
          <cell r="U507">
            <v>0</v>
          </cell>
          <cell r="V507">
            <v>0</v>
          </cell>
          <cell r="W507">
            <v>0</v>
          </cell>
        </row>
        <row r="508">
          <cell r="P508" t="str">
            <v xml:space="preserve"> </v>
          </cell>
          <cell r="Q508">
            <v>0</v>
          </cell>
          <cell r="U508">
            <v>0</v>
          </cell>
          <cell r="V508">
            <v>0</v>
          </cell>
          <cell r="W508">
            <v>0</v>
          </cell>
        </row>
        <row r="509">
          <cell r="P509" t="str">
            <v xml:space="preserve"> </v>
          </cell>
          <cell r="Q509">
            <v>0</v>
          </cell>
          <cell r="U509">
            <v>0</v>
          </cell>
          <cell r="V509">
            <v>0</v>
          </cell>
          <cell r="W509">
            <v>0</v>
          </cell>
        </row>
        <row r="510">
          <cell r="P510" t="str">
            <v xml:space="preserve"> </v>
          </cell>
          <cell r="Q510">
            <v>0</v>
          </cell>
          <cell r="U510">
            <v>0</v>
          </cell>
          <cell r="V510">
            <v>0</v>
          </cell>
          <cell r="W510">
            <v>0</v>
          </cell>
        </row>
        <row r="511">
          <cell r="P511" t="str">
            <v xml:space="preserve"> </v>
          </cell>
          <cell r="Q511">
            <v>0</v>
          </cell>
          <cell r="U511">
            <v>0</v>
          </cell>
          <cell r="V511">
            <v>0</v>
          </cell>
          <cell r="W511">
            <v>0</v>
          </cell>
        </row>
        <row r="512">
          <cell r="P512" t="str">
            <v xml:space="preserve"> </v>
          </cell>
          <cell r="Q512">
            <v>0</v>
          </cell>
          <cell r="U512">
            <v>0</v>
          </cell>
          <cell r="V512">
            <v>0</v>
          </cell>
          <cell r="W512">
            <v>0</v>
          </cell>
        </row>
        <row r="513">
          <cell r="P513" t="str">
            <v xml:space="preserve"> </v>
          </cell>
          <cell r="Q513">
            <v>0</v>
          </cell>
          <cell r="U513">
            <v>0</v>
          </cell>
          <cell r="V513">
            <v>0</v>
          </cell>
          <cell r="W513">
            <v>0</v>
          </cell>
        </row>
        <row r="514">
          <cell r="P514" t="str">
            <v xml:space="preserve"> </v>
          </cell>
          <cell r="Q514">
            <v>0</v>
          </cell>
          <cell r="U514">
            <v>0</v>
          </cell>
          <cell r="V514">
            <v>0</v>
          </cell>
          <cell r="W514">
            <v>0</v>
          </cell>
        </row>
        <row r="515">
          <cell r="P515" t="str">
            <v xml:space="preserve"> </v>
          </cell>
          <cell r="Q515">
            <v>0</v>
          </cell>
          <cell r="U515">
            <v>0</v>
          </cell>
          <cell r="V515">
            <v>0</v>
          </cell>
          <cell r="W515">
            <v>0</v>
          </cell>
        </row>
        <row r="516">
          <cell r="P516" t="str">
            <v xml:space="preserve"> </v>
          </cell>
          <cell r="Q516">
            <v>0</v>
          </cell>
          <cell r="U516">
            <v>0</v>
          </cell>
          <cell r="V516">
            <v>0</v>
          </cell>
          <cell r="W516">
            <v>0</v>
          </cell>
        </row>
        <row r="517">
          <cell r="P517" t="str">
            <v xml:space="preserve"> </v>
          </cell>
          <cell r="Q517">
            <v>0</v>
          </cell>
          <cell r="U517">
            <v>0</v>
          </cell>
          <cell r="V517">
            <v>0</v>
          </cell>
          <cell r="W517">
            <v>0</v>
          </cell>
        </row>
        <row r="518">
          <cell r="P518" t="str">
            <v xml:space="preserve"> </v>
          </cell>
          <cell r="Q518">
            <v>0</v>
          </cell>
          <cell r="U518">
            <v>0</v>
          </cell>
          <cell r="V518">
            <v>0</v>
          </cell>
          <cell r="W518">
            <v>0</v>
          </cell>
        </row>
        <row r="519">
          <cell r="P519" t="str">
            <v xml:space="preserve"> </v>
          </cell>
          <cell r="Q519">
            <v>0</v>
          </cell>
          <cell r="U519">
            <v>0</v>
          </cell>
          <cell r="V519">
            <v>0</v>
          </cell>
          <cell r="W519">
            <v>0</v>
          </cell>
        </row>
        <row r="520">
          <cell r="P520" t="str">
            <v xml:space="preserve"> </v>
          </cell>
          <cell r="Q520">
            <v>0</v>
          </cell>
          <cell r="U520">
            <v>0</v>
          </cell>
          <cell r="V520">
            <v>0</v>
          </cell>
          <cell r="W520">
            <v>0</v>
          </cell>
        </row>
        <row r="521">
          <cell r="P521" t="str">
            <v xml:space="preserve"> </v>
          </cell>
          <cell r="Q521">
            <v>0</v>
          </cell>
          <cell r="U521">
            <v>0</v>
          </cell>
          <cell r="V521">
            <v>0</v>
          </cell>
          <cell r="W521">
            <v>0</v>
          </cell>
        </row>
        <row r="522">
          <cell r="P522" t="str">
            <v xml:space="preserve"> </v>
          </cell>
          <cell r="Q522">
            <v>0</v>
          </cell>
          <cell r="U522">
            <v>0</v>
          </cell>
          <cell r="V522">
            <v>0</v>
          </cell>
          <cell r="W522">
            <v>0</v>
          </cell>
        </row>
        <row r="523">
          <cell r="P523" t="str">
            <v xml:space="preserve"> </v>
          </cell>
          <cell r="Q523">
            <v>0</v>
          </cell>
          <cell r="U523">
            <v>0</v>
          </cell>
          <cell r="V523">
            <v>0</v>
          </cell>
          <cell r="W523">
            <v>0</v>
          </cell>
        </row>
        <row r="524">
          <cell r="P524" t="str">
            <v xml:space="preserve"> </v>
          </cell>
          <cell r="Q524">
            <v>0</v>
          </cell>
          <cell r="U524">
            <v>0</v>
          </cell>
          <cell r="V524">
            <v>0</v>
          </cell>
          <cell r="W524">
            <v>0</v>
          </cell>
        </row>
        <row r="525">
          <cell r="P525" t="str">
            <v xml:space="preserve"> </v>
          </cell>
          <cell r="Q525">
            <v>0</v>
          </cell>
          <cell r="U525">
            <v>0</v>
          </cell>
          <cell r="V525">
            <v>0</v>
          </cell>
          <cell r="W525">
            <v>0</v>
          </cell>
        </row>
        <row r="526">
          <cell r="P526" t="str">
            <v xml:space="preserve"> </v>
          </cell>
          <cell r="Q526">
            <v>0</v>
          </cell>
          <cell r="U526">
            <v>0</v>
          </cell>
          <cell r="V526">
            <v>0</v>
          </cell>
          <cell r="W526">
            <v>0</v>
          </cell>
        </row>
      </sheetData>
      <sheetData sheetId="2">
        <row r="6">
          <cell r="H6" t="str">
            <v>CÔNG TY TNHH NIỀM TIN</v>
          </cell>
        </row>
        <row r="8">
          <cell r="H8" t="str">
            <v>51 Võng Thị - Tây Hồ - Hà Nội</v>
          </cell>
        </row>
        <row r="10">
          <cell r="H10" t="str">
            <v>0101103435</v>
          </cell>
        </row>
      </sheetData>
      <sheetData sheetId="3" refreshError="1"/>
      <sheetData sheetId="4" refreshError="1"/>
      <sheetData sheetId="5" refreshError="1"/>
      <sheetData sheetId="6">
        <row r="15">
          <cell r="F15" t="str">
            <v>TS42LCD</v>
          </cell>
          <cell r="G15" t="str">
            <v>TS42LCD</v>
          </cell>
          <cell r="H15" t="str">
            <v>LCD</v>
          </cell>
          <cell r="I15" t="str">
            <v>chiec</v>
          </cell>
          <cell r="S15">
            <v>156</v>
          </cell>
        </row>
        <row r="16">
          <cell r="F16" t="str">
            <v>TLG100L</v>
          </cell>
          <cell r="G16" t="str">
            <v>TLG100L</v>
          </cell>
          <cell r="H16" t="str">
            <v>100L</v>
          </cell>
          <cell r="I16" t="str">
            <v>chiec</v>
          </cell>
          <cell r="S16">
            <v>156</v>
          </cell>
        </row>
      </sheetData>
      <sheetData sheetId="7">
        <row r="8">
          <cell r="K8">
            <v>111</v>
          </cell>
        </row>
      </sheetData>
      <sheetData sheetId="8">
        <row r="14">
          <cell r="E14" t="str">
            <v>CPQL_01</v>
          </cell>
        </row>
        <row r="15">
          <cell r="E15" t="str">
            <v>CPQL_02</v>
          </cell>
        </row>
        <row r="16">
          <cell r="E16" t="str">
            <v>CPQL_03</v>
          </cell>
        </row>
        <row r="17">
          <cell r="E17" t="str">
            <v>CPQL_04</v>
          </cell>
        </row>
        <row r="18">
          <cell r="E18" t="str">
            <v>CPQL_05</v>
          </cell>
        </row>
        <row r="19">
          <cell r="E19" t="str">
            <v>CPQL_06</v>
          </cell>
        </row>
        <row r="20">
          <cell r="E20" t="str">
            <v>CPQL_07</v>
          </cell>
        </row>
        <row r="21">
          <cell r="E21" t="str">
            <v>CPQL_08</v>
          </cell>
        </row>
        <row r="22">
          <cell r="E22" t="str">
            <v>CTA1</v>
          </cell>
        </row>
        <row r="23">
          <cell r="E23" t="str">
            <v>CTA2</v>
          </cell>
        </row>
      </sheetData>
      <sheetData sheetId="9">
        <row r="15">
          <cell r="E15" t="str">
            <v>STHA</v>
          </cell>
          <cell r="H15">
            <v>331</v>
          </cell>
          <cell r="K15">
            <v>66000000</v>
          </cell>
          <cell r="L15">
            <v>66000000</v>
          </cell>
          <cell r="M15">
            <v>0</v>
          </cell>
          <cell r="N15">
            <v>0</v>
          </cell>
        </row>
        <row r="16">
          <cell r="E16" t="str">
            <v>VLAND</v>
          </cell>
          <cell r="H16">
            <v>131</v>
          </cell>
          <cell r="K16">
            <v>5500000000</v>
          </cell>
          <cell r="L16">
            <v>8800000000</v>
          </cell>
          <cell r="M16">
            <v>0</v>
          </cell>
          <cell r="N16">
            <v>3300000000</v>
          </cell>
        </row>
        <row r="17">
          <cell r="E17" t="str">
            <v>SONY</v>
          </cell>
          <cell r="H17">
            <v>331</v>
          </cell>
          <cell r="K17">
            <v>1430000000</v>
          </cell>
          <cell r="L17">
            <v>1430000000</v>
          </cell>
          <cell r="M17">
            <v>0</v>
          </cell>
          <cell r="N17">
            <v>0</v>
          </cell>
        </row>
        <row r="18">
          <cell r="E18" t="str">
            <v>SOTKO</v>
          </cell>
          <cell r="H18">
            <v>331</v>
          </cell>
          <cell r="K18">
            <v>3187500000</v>
          </cell>
          <cell r="L18">
            <v>3187500000</v>
          </cell>
          <cell r="M18">
            <v>0</v>
          </cell>
          <cell r="N18">
            <v>0</v>
          </cell>
        </row>
        <row r="19">
          <cell r="E19" t="str">
            <v>SIMCO</v>
          </cell>
          <cell r="H19">
            <v>331</v>
          </cell>
          <cell r="K19">
            <v>4818000000</v>
          </cell>
          <cell r="L19">
            <v>9636000000</v>
          </cell>
          <cell r="M19">
            <v>0</v>
          </cell>
          <cell r="N19">
            <v>4818000000</v>
          </cell>
        </row>
        <row r="20">
          <cell r="E20" t="str">
            <v>HML</v>
          </cell>
          <cell r="H20">
            <v>141</v>
          </cell>
          <cell r="K20">
            <v>10000000</v>
          </cell>
          <cell r="L20">
            <v>10000000</v>
          </cell>
          <cell r="M20">
            <v>0</v>
          </cell>
          <cell r="N20">
            <v>0</v>
          </cell>
        </row>
        <row r="21">
          <cell r="E21" t="str">
            <v>NDCVN</v>
          </cell>
          <cell r="H21">
            <v>131</v>
          </cell>
          <cell r="K21">
            <v>2986500000</v>
          </cell>
          <cell r="L21">
            <v>2521200000</v>
          </cell>
          <cell r="M21">
            <v>465300000</v>
          </cell>
          <cell r="N21">
            <v>0</v>
          </cell>
        </row>
        <row r="22">
          <cell r="E22" t="str">
            <v>TOYOTA</v>
          </cell>
          <cell r="H22">
            <v>331</v>
          </cell>
          <cell r="K22">
            <v>1320000000</v>
          </cell>
          <cell r="L22">
            <v>1320000000</v>
          </cell>
          <cell r="M22">
            <v>0</v>
          </cell>
          <cell r="N22">
            <v>0</v>
          </cell>
        </row>
        <row r="23">
          <cell r="E23" t="str">
            <v>ANPHA</v>
          </cell>
          <cell r="H23">
            <v>331</v>
          </cell>
          <cell r="K23">
            <v>99000000</v>
          </cell>
          <cell r="L23">
            <v>198000000</v>
          </cell>
          <cell r="M23">
            <v>0</v>
          </cell>
          <cell r="N23">
            <v>99000000</v>
          </cell>
        </row>
        <row r="24">
          <cell r="E24" t="str">
            <v>THDAT</v>
          </cell>
          <cell r="H24">
            <v>131</v>
          </cell>
          <cell r="K24">
            <v>55000000</v>
          </cell>
          <cell r="L24">
            <v>0</v>
          </cell>
          <cell r="M24">
            <v>55000000</v>
          </cell>
          <cell r="N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</row>
      </sheetData>
      <sheetData sheetId="10" refreshError="1"/>
      <sheetData sheetId="11">
        <row r="8">
          <cell r="J8">
            <v>111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4">
          <cell r="G14">
            <v>111</v>
          </cell>
          <cell r="H14" t="str">
            <v>Tiền mặt</v>
          </cell>
          <cell r="I14">
            <v>0</v>
          </cell>
          <cell r="J14">
            <v>0</v>
          </cell>
          <cell r="K14">
            <v>8014500000</v>
          </cell>
          <cell r="L14">
            <v>6165025600</v>
          </cell>
          <cell r="M14">
            <v>1849474400</v>
          </cell>
          <cell r="N14">
            <v>0</v>
          </cell>
          <cell r="O14">
            <v>110</v>
          </cell>
          <cell r="P14" t="str">
            <v>x</v>
          </cell>
        </row>
        <row r="15">
          <cell r="G15">
            <v>1111</v>
          </cell>
          <cell r="H15" t="str">
            <v>Tiền Việt Nam</v>
          </cell>
          <cell r="K15">
            <v>7584500000</v>
          </cell>
          <cell r="L15">
            <v>6165025600</v>
          </cell>
          <cell r="M15">
            <v>1419474400</v>
          </cell>
          <cell r="N15">
            <v>0</v>
          </cell>
          <cell r="P15">
            <v>0</v>
          </cell>
        </row>
        <row r="16">
          <cell r="G16">
            <v>1112</v>
          </cell>
          <cell r="H16" t="str">
            <v>Ngoại tệ</v>
          </cell>
          <cell r="K16">
            <v>430000000</v>
          </cell>
          <cell r="L16">
            <v>0</v>
          </cell>
          <cell r="M16">
            <v>430000000</v>
          </cell>
          <cell r="N16">
            <v>0</v>
          </cell>
          <cell r="P16">
            <v>0</v>
          </cell>
        </row>
        <row r="17">
          <cell r="G17">
            <v>1113</v>
          </cell>
          <cell r="H17" t="str">
            <v>Vàng, bạc, kim khí quý, đá quý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0</v>
          </cell>
        </row>
        <row r="18">
          <cell r="G18">
            <v>112</v>
          </cell>
          <cell r="H18" t="str">
            <v>Tiền gửi ngân hàng</v>
          </cell>
          <cell r="I18">
            <v>0</v>
          </cell>
          <cell r="J18">
            <v>0</v>
          </cell>
          <cell r="K18">
            <v>19858717120</v>
          </cell>
          <cell r="L18">
            <v>15538308625</v>
          </cell>
          <cell r="M18">
            <v>4320408495</v>
          </cell>
          <cell r="N18">
            <v>0</v>
          </cell>
          <cell r="O18">
            <v>110</v>
          </cell>
          <cell r="P18" t="str">
            <v>x</v>
          </cell>
        </row>
        <row r="19">
          <cell r="G19">
            <v>1121</v>
          </cell>
          <cell r="H19" t="str">
            <v>Tiền Việt Nam</v>
          </cell>
          <cell r="I19">
            <v>0</v>
          </cell>
          <cell r="J19">
            <v>0</v>
          </cell>
          <cell r="K19">
            <v>16702032770</v>
          </cell>
          <cell r="L19">
            <v>12388308625</v>
          </cell>
          <cell r="M19">
            <v>4313724145</v>
          </cell>
          <cell r="N19">
            <v>0</v>
          </cell>
          <cell r="P19">
            <v>0</v>
          </cell>
        </row>
        <row r="20">
          <cell r="G20">
            <v>11211</v>
          </cell>
          <cell r="H20" t="str">
            <v>Tiền Việt Nam Tại ngân hàng MB bank</v>
          </cell>
          <cell r="K20">
            <v>16702032770</v>
          </cell>
          <cell r="L20">
            <v>12388308625</v>
          </cell>
          <cell r="M20">
            <v>4313724145</v>
          </cell>
          <cell r="N20">
            <v>0</v>
          </cell>
          <cell r="P20">
            <v>0</v>
          </cell>
        </row>
        <row r="21">
          <cell r="G21">
            <v>11212</v>
          </cell>
          <cell r="H21" t="str">
            <v>Tiền Việt Nam Tại ngân hàng Vietcombank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P21">
            <v>0</v>
          </cell>
        </row>
        <row r="22">
          <cell r="G22">
            <v>1122</v>
          </cell>
          <cell r="H22" t="str">
            <v>Ngoại tệ</v>
          </cell>
          <cell r="K22">
            <v>3156684350</v>
          </cell>
          <cell r="L22">
            <v>3150000000</v>
          </cell>
          <cell r="M22">
            <v>6684350</v>
          </cell>
          <cell r="N22">
            <v>0</v>
          </cell>
          <cell r="P22">
            <v>0</v>
          </cell>
        </row>
        <row r="23">
          <cell r="G23">
            <v>1123</v>
          </cell>
          <cell r="H23" t="str">
            <v>Vàng, bạc, kim khí quý, đá quý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</row>
        <row r="24">
          <cell r="G24">
            <v>121</v>
          </cell>
          <cell r="H24" t="str">
            <v>Đầu tư chứng khoán ngắn hạn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121</v>
          </cell>
          <cell r="P24" t="str">
            <v>x</v>
          </cell>
        </row>
        <row r="25">
          <cell r="G25">
            <v>131</v>
          </cell>
          <cell r="H25" t="str">
            <v>Phải thu của khách hàng</v>
          </cell>
          <cell r="K25">
            <v>8541500000</v>
          </cell>
          <cell r="L25">
            <v>11321200000</v>
          </cell>
          <cell r="M25">
            <v>0</v>
          </cell>
          <cell r="N25">
            <v>2779700000</v>
          </cell>
          <cell r="O25">
            <v>131</v>
          </cell>
          <cell r="P25" t="str">
            <v>x</v>
          </cell>
        </row>
        <row r="26">
          <cell r="G26">
            <v>133</v>
          </cell>
          <cell r="H26" t="str">
            <v>Thuế GTGT được khấu trừ</v>
          </cell>
          <cell r="I26">
            <v>0</v>
          </cell>
          <cell r="J26">
            <v>0</v>
          </cell>
          <cell r="K26">
            <v>1490479786</v>
          </cell>
          <cell r="L26">
            <v>764500000</v>
          </cell>
          <cell r="M26">
            <v>725979786</v>
          </cell>
          <cell r="N26">
            <v>0</v>
          </cell>
          <cell r="O26">
            <v>151</v>
          </cell>
          <cell r="P26" t="str">
            <v>x</v>
          </cell>
        </row>
        <row r="27">
          <cell r="G27">
            <v>1331</v>
          </cell>
          <cell r="H27" t="str">
            <v>Thuế GTGT được khấu trừ HH, DV</v>
          </cell>
          <cell r="K27">
            <v>1490479786</v>
          </cell>
          <cell r="L27">
            <v>764500000</v>
          </cell>
          <cell r="M27">
            <v>725979786</v>
          </cell>
          <cell r="N27">
            <v>0</v>
          </cell>
          <cell r="P27">
            <v>0</v>
          </cell>
        </row>
        <row r="28">
          <cell r="G28">
            <v>1332</v>
          </cell>
          <cell r="H28" t="str">
            <v>Thuế GTGT được khấu trừ của TSCĐ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</row>
        <row r="29">
          <cell r="G29">
            <v>138</v>
          </cell>
          <cell r="H29" t="str">
            <v>Phải thu khác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138</v>
          </cell>
          <cell r="P29" t="str">
            <v>x</v>
          </cell>
        </row>
        <row r="30">
          <cell r="G30">
            <v>1381</v>
          </cell>
          <cell r="H30" t="str">
            <v>Tài sản thiếu chờ xử lý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0</v>
          </cell>
        </row>
        <row r="31">
          <cell r="G31">
            <v>1388</v>
          </cell>
          <cell r="H31" t="str">
            <v>Phải thu khác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</row>
        <row r="32">
          <cell r="G32">
            <v>141</v>
          </cell>
          <cell r="H32" t="str">
            <v>Tạm ứng</v>
          </cell>
          <cell r="K32">
            <v>10000000</v>
          </cell>
          <cell r="L32">
            <v>10000000</v>
          </cell>
          <cell r="M32">
            <v>0</v>
          </cell>
          <cell r="N32">
            <v>0</v>
          </cell>
          <cell r="O32">
            <v>158</v>
          </cell>
          <cell r="P32" t="str">
            <v>x</v>
          </cell>
        </row>
        <row r="33">
          <cell r="G33">
            <v>142</v>
          </cell>
          <cell r="H33" t="str">
            <v>Chi phí trả trước ngắn hạn</v>
          </cell>
          <cell r="K33">
            <v>74000000</v>
          </cell>
          <cell r="L33">
            <v>35100000</v>
          </cell>
          <cell r="M33">
            <v>38900000</v>
          </cell>
          <cell r="N33">
            <v>0</v>
          </cell>
          <cell r="O33">
            <v>158</v>
          </cell>
          <cell r="P33" t="str">
            <v>x</v>
          </cell>
        </row>
        <row r="34">
          <cell r="G34">
            <v>152</v>
          </cell>
          <cell r="H34" t="str">
            <v>Nguyên liệu, vật liệu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141</v>
          </cell>
          <cell r="P34" t="str">
            <v>x</v>
          </cell>
        </row>
        <row r="35">
          <cell r="G35">
            <v>153</v>
          </cell>
          <cell r="H35" t="str">
            <v>Công cụ, dụng cụ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141</v>
          </cell>
          <cell r="P35" t="str">
            <v>x</v>
          </cell>
        </row>
        <row r="36">
          <cell r="G36">
            <v>154</v>
          </cell>
          <cell r="H36" t="str">
            <v>Chi phí sản xuất, kinh doanh dở dang</v>
          </cell>
          <cell r="K36">
            <v>9340000000</v>
          </cell>
          <cell r="L36">
            <v>3170000000</v>
          </cell>
          <cell r="M36">
            <v>6170000000</v>
          </cell>
          <cell r="N36">
            <v>0</v>
          </cell>
          <cell r="O36">
            <v>141</v>
          </cell>
          <cell r="P36" t="str">
            <v>x</v>
          </cell>
        </row>
        <row r="37">
          <cell r="G37">
            <v>155</v>
          </cell>
          <cell r="H37" t="str">
            <v>Thành phẩm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141</v>
          </cell>
          <cell r="P37" t="str">
            <v>x</v>
          </cell>
        </row>
        <row r="38">
          <cell r="G38">
            <v>156</v>
          </cell>
          <cell r="H38" t="str">
            <v>Hàng hoá</v>
          </cell>
          <cell r="I38">
            <v>0</v>
          </cell>
          <cell r="J38">
            <v>0</v>
          </cell>
          <cell r="K38">
            <v>4782302575</v>
          </cell>
          <cell r="L38">
            <v>2456489000</v>
          </cell>
          <cell r="M38">
            <v>2325813575</v>
          </cell>
          <cell r="N38">
            <v>0</v>
          </cell>
          <cell r="O38">
            <v>141</v>
          </cell>
          <cell r="P38" t="str">
            <v>x</v>
          </cell>
        </row>
        <row r="39">
          <cell r="G39">
            <v>1561</v>
          </cell>
          <cell r="H39" t="str">
            <v>Giá mua hàng hóa</v>
          </cell>
          <cell r="K39">
            <v>4596824450</v>
          </cell>
          <cell r="L39">
            <v>2456489000</v>
          </cell>
          <cell r="M39">
            <v>2140335450</v>
          </cell>
          <cell r="N39">
            <v>0</v>
          </cell>
          <cell r="P39">
            <v>0</v>
          </cell>
        </row>
        <row r="40">
          <cell r="G40">
            <v>1562</v>
          </cell>
          <cell r="H40" t="str">
            <v>Chi phí mua hàng</v>
          </cell>
          <cell r="K40">
            <v>185478125</v>
          </cell>
          <cell r="L40">
            <v>0</v>
          </cell>
          <cell r="M40">
            <v>185478125</v>
          </cell>
          <cell r="N40">
            <v>0</v>
          </cell>
          <cell r="P40">
            <v>0</v>
          </cell>
        </row>
        <row r="41">
          <cell r="G41">
            <v>157</v>
          </cell>
          <cell r="H41" t="str">
            <v>Hàng gửi đi bán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141</v>
          </cell>
          <cell r="P41" t="str">
            <v>x</v>
          </cell>
        </row>
        <row r="42">
          <cell r="G42">
            <v>159</v>
          </cell>
          <cell r="H42" t="str">
            <v>Các khoản dự phòng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 t="str">
            <v>x</v>
          </cell>
        </row>
        <row r="43">
          <cell r="G43">
            <v>1591</v>
          </cell>
          <cell r="H43" t="str">
            <v>Dự phòng giảm giá đầu tư tài chính ngắn hạn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129</v>
          </cell>
          <cell r="P43">
            <v>0</v>
          </cell>
        </row>
        <row r="44">
          <cell r="G44">
            <v>1592</v>
          </cell>
          <cell r="H44" t="str">
            <v>Dự phòng phải thu khó đòi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139</v>
          </cell>
          <cell r="P44">
            <v>0</v>
          </cell>
        </row>
        <row r="45">
          <cell r="G45">
            <v>1593</v>
          </cell>
          <cell r="H45" t="str">
            <v>Dự phòng giảm giá hàng tồn kho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149</v>
          </cell>
          <cell r="P45">
            <v>0</v>
          </cell>
        </row>
        <row r="46">
          <cell r="G46">
            <v>171</v>
          </cell>
          <cell r="H46" t="str">
            <v>Giao dịch mua bán trái phiếu Chính phủ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157</v>
          </cell>
          <cell r="P46" t="str">
            <v>x</v>
          </cell>
        </row>
        <row r="47">
          <cell r="G47">
            <v>211</v>
          </cell>
          <cell r="H47" t="str">
            <v>Tài sản cố định</v>
          </cell>
          <cell r="I47">
            <v>0</v>
          </cell>
          <cell r="J47">
            <v>0</v>
          </cell>
          <cell r="K47">
            <v>1260000000</v>
          </cell>
          <cell r="L47">
            <v>60000000</v>
          </cell>
          <cell r="M47">
            <v>1200000000</v>
          </cell>
          <cell r="N47">
            <v>0</v>
          </cell>
          <cell r="O47">
            <v>211</v>
          </cell>
          <cell r="P47" t="str">
            <v>x</v>
          </cell>
        </row>
        <row r="48">
          <cell r="G48">
            <v>2111</v>
          </cell>
          <cell r="H48" t="str">
            <v>Tài sản cố định hữu hình</v>
          </cell>
          <cell r="K48">
            <v>1260000000</v>
          </cell>
          <cell r="L48">
            <v>60000000</v>
          </cell>
          <cell r="M48">
            <v>1200000000</v>
          </cell>
          <cell r="N48">
            <v>0</v>
          </cell>
          <cell r="P48">
            <v>0</v>
          </cell>
        </row>
        <row r="49">
          <cell r="G49">
            <v>2112</v>
          </cell>
          <cell r="H49" t="str">
            <v>Tài sản cố định thuê tài chính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</row>
        <row r="50">
          <cell r="G50">
            <v>2113</v>
          </cell>
          <cell r="H50" t="str">
            <v>Tài sản cố định vô hình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</row>
        <row r="51">
          <cell r="G51">
            <v>214</v>
          </cell>
          <cell r="H51" t="str">
            <v>Hao mòn TSCĐ</v>
          </cell>
          <cell r="I51">
            <v>0</v>
          </cell>
          <cell r="J51">
            <v>0</v>
          </cell>
          <cell r="K51">
            <v>2000000</v>
          </cell>
          <cell r="L51">
            <v>14500000</v>
          </cell>
          <cell r="M51">
            <v>0</v>
          </cell>
          <cell r="N51">
            <v>12500000</v>
          </cell>
          <cell r="P51" t="str">
            <v>x</v>
          </cell>
        </row>
        <row r="52">
          <cell r="G52">
            <v>2141</v>
          </cell>
          <cell r="H52" t="str">
            <v>Hao mòn TSCĐ hữu hình</v>
          </cell>
          <cell r="K52">
            <v>2000000</v>
          </cell>
          <cell r="L52">
            <v>14500000</v>
          </cell>
          <cell r="M52">
            <v>0</v>
          </cell>
          <cell r="N52">
            <v>12500000</v>
          </cell>
          <cell r="O52">
            <v>212</v>
          </cell>
          <cell r="P52">
            <v>0</v>
          </cell>
        </row>
        <row r="53">
          <cell r="G53">
            <v>2142</v>
          </cell>
          <cell r="H53" t="str">
            <v>Hao mòn TSCĐ thuê tài chính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212</v>
          </cell>
          <cell r="P53">
            <v>0</v>
          </cell>
        </row>
        <row r="54">
          <cell r="G54">
            <v>2143</v>
          </cell>
          <cell r="H54" t="str">
            <v>Hao mòn TSCĐ vô hình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212</v>
          </cell>
          <cell r="P54">
            <v>0</v>
          </cell>
        </row>
        <row r="55">
          <cell r="G55">
            <v>2147</v>
          </cell>
          <cell r="H55" t="str">
            <v>Hao mòn bất động sản đầu tư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222</v>
          </cell>
          <cell r="P55">
            <v>0</v>
          </cell>
        </row>
        <row r="56">
          <cell r="G56">
            <v>217</v>
          </cell>
          <cell r="H56" t="str">
            <v>Bất động sản đầu tư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221</v>
          </cell>
          <cell r="P56" t="str">
            <v>x</v>
          </cell>
        </row>
        <row r="57">
          <cell r="G57">
            <v>221</v>
          </cell>
          <cell r="H57" t="str">
            <v>Đầu tư tài chính dài hạn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231</v>
          </cell>
          <cell r="P57" t="str">
            <v>x</v>
          </cell>
        </row>
        <row r="58">
          <cell r="G58">
            <v>2212</v>
          </cell>
          <cell r="H58" t="str">
            <v>Vốn góp liên doanh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0</v>
          </cell>
        </row>
        <row r="59">
          <cell r="G59">
            <v>2213</v>
          </cell>
          <cell r="H59" t="str">
            <v>Đầu tư vào công ty liên kết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0</v>
          </cell>
        </row>
        <row r="60">
          <cell r="G60">
            <v>2218</v>
          </cell>
          <cell r="H60" t="str">
            <v>Đầu tư tài chính dài hạn khác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</row>
        <row r="61">
          <cell r="G61">
            <v>229</v>
          </cell>
          <cell r="H61" t="str">
            <v>Dự phòng giảm giá đầu tư tài chính dài hạn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239</v>
          </cell>
          <cell r="P61" t="str">
            <v>x</v>
          </cell>
        </row>
        <row r="62">
          <cell r="G62">
            <v>241</v>
          </cell>
          <cell r="H62" t="str">
            <v>Xây dựng cơ bản dở dang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213</v>
          </cell>
          <cell r="P62" t="str">
            <v>x</v>
          </cell>
        </row>
        <row r="63">
          <cell r="G63">
            <v>2411</v>
          </cell>
          <cell r="H63" t="str">
            <v>Mua sắm TSCĐ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0</v>
          </cell>
        </row>
        <row r="64">
          <cell r="G64">
            <v>2412</v>
          </cell>
          <cell r="H64" t="str">
            <v>Xây dựng cơ bản dở dang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P64">
            <v>0</v>
          </cell>
        </row>
        <row r="65">
          <cell r="G65">
            <v>2413</v>
          </cell>
          <cell r="H65" t="str">
            <v>Sửa chữa lớn TSCĐ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0</v>
          </cell>
        </row>
        <row r="66">
          <cell r="G66">
            <v>242</v>
          </cell>
          <cell r="H66" t="str">
            <v>Chi phí trả trước dài hạn</v>
          </cell>
          <cell r="K66">
            <v>18000000</v>
          </cell>
          <cell r="L66">
            <v>2850000</v>
          </cell>
          <cell r="M66">
            <v>15150000</v>
          </cell>
          <cell r="N66">
            <v>0</v>
          </cell>
          <cell r="O66">
            <v>248</v>
          </cell>
          <cell r="P66" t="str">
            <v>x</v>
          </cell>
        </row>
        <row r="67">
          <cell r="G67">
            <v>244</v>
          </cell>
          <cell r="H67" t="str">
            <v>Ký quỹ, ký cược dài hạn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248</v>
          </cell>
          <cell r="P67" t="str">
            <v>x</v>
          </cell>
        </row>
        <row r="68">
          <cell r="G68">
            <v>311</v>
          </cell>
          <cell r="H68" t="str">
            <v>Vay ngắn hạn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311</v>
          </cell>
          <cell r="P68" t="str">
            <v>x</v>
          </cell>
        </row>
        <row r="69">
          <cell r="G69">
            <v>315</v>
          </cell>
          <cell r="H69" t="str">
            <v>Nợ dài hạn đến hạn trả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311</v>
          </cell>
          <cell r="P69" t="str">
            <v>x</v>
          </cell>
        </row>
        <row r="70">
          <cell r="G70">
            <v>331</v>
          </cell>
          <cell r="H70" t="str">
            <v>Phải trả cho người bán</v>
          </cell>
          <cell r="K70">
            <v>10920500000</v>
          </cell>
          <cell r="L70">
            <v>15837500000</v>
          </cell>
          <cell r="M70">
            <v>0</v>
          </cell>
          <cell r="N70">
            <v>4917000000</v>
          </cell>
          <cell r="O70">
            <v>312</v>
          </cell>
          <cell r="P70" t="str">
            <v>x</v>
          </cell>
        </row>
        <row r="71">
          <cell r="G71">
            <v>333</v>
          </cell>
          <cell r="H71" t="str">
            <v>Thuế và các khoản phải nộp Nhà nước</v>
          </cell>
          <cell r="I71">
            <v>0</v>
          </cell>
          <cell r="J71">
            <v>0</v>
          </cell>
          <cell r="K71">
            <v>1271562500</v>
          </cell>
          <cell r="L71">
            <v>1754347564</v>
          </cell>
          <cell r="M71">
            <v>0</v>
          </cell>
          <cell r="N71">
            <v>482785064</v>
          </cell>
          <cell r="O71">
            <v>314</v>
          </cell>
          <cell r="P71" t="str">
            <v>x</v>
          </cell>
        </row>
        <row r="72">
          <cell r="G72">
            <v>3331</v>
          </cell>
          <cell r="H72" t="str">
            <v>Thuế giá trị gia tăng phải nộp</v>
          </cell>
          <cell r="I72">
            <v>0</v>
          </cell>
          <cell r="J72">
            <v>0</v>
          </cell>
          <cell r="K72">
            <v>1111187500</v>
          </cell>
          <cell r="L72">
            <v>1111187500</v>
          </cell>
          <cell r="M72">
            <v>0</v>
          </cell>
          <cell r="N72">
            <v>0</v>
          </cell>
          <cell r="O72">
            <v>152</v>
          </cell>
          <cell r="P72">
            <v>0</v>
          </cell>
        </row>
        <row r="73">
          <cell r="G73">
            <v>33311</v>
          </cell>
          <cell r="H73" t="str">
            <v>Thuế GTGT đầu ra</v>
          </cell>
          <cell r="K73">
            <v>776500000</v>
          </cell>
          <cell r="L73">
            <v>776500000</v>
          </cell>
          <cell r="M73">
            <v>0</v>
          </cell>
          <cell r="N73">
            <v>0</v>
          </cell>
          <cell r="P73">
            <v>0</v>
          </cell>
        </row>
        <row r="74">
          <cell r="G74">
            <v>33312</v>
          </cell>
          <cell r="H74" t="str">
            <v>Thuế GTGT hàng nhập khẩu</v>
          </cell>
          <cell r="K74">
            <v>334687500</v>
          </cell>
          <cell r="L74">
            <v>334687500</v>
          </cell>
          <cell r="M74">
            <v>0</v>
          </cell>
          <cell r="N74">
            <v>0</v>
          </cell>
          <cell r="P74">
            <v>0</v>
          </cell>
        </row>
        <row r="75">
          <cell r="G75">
            <v>3332</v>
          </cell>
          <cell r="H75" t="str">
            <v>Thuế tiêu thu đặc biệt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152</v>
          </cell>
          <cell r="P75">
            <v>0</v>
          </cell>
        </row>
        <row r="76">
          <cell r="G76">
            <v>3333</v>
          </cell>
          <cell r="H76" t="str">
            <v>Thuế xuất, nhập khẩu</v>
          </cell>
          <cell r="K76">
            <v>159375000</v>
          </cell>
          <cell r="L76">
            <v>159375000</v>
          </cell>
          <cell r="M76">
            <v>0</v>
          </cell>
          <cell r="N76">
            <v>0</v>
          </cell>
          <cell r="O76">
            <v>152</v>
          </cell>
          <cell r="P76">
            <v>0</v>
          </cell>
        </row>
        <row r="77">
          <cell r="G77">
            <v>3334</v>
          </cell>
          <cell r="H77" t="str">
            <v>Thuế thu nhập doanh nghiệp</v>
          </cell>
          <cell r="K77">
            <v>0</v>
          </cell>
          <cell r="L77">
            <v>481762064</v>
          </cell>
          <cell r="M77">
            <v>0</v>
          </cell>
          <cell r="N77">
            <v>481762064</v>
          </cell>
          <cell r="O77">
            <v>152</v>
          </cell>
          <cell r="P77">
            <v>0</v>
          </cell>
        </row>
        <row r="78">
          <cell r="G78">
            <v>3335</v>
          </cell>
          <cell r="H78" t="str">
            <v>Thuế thu nhập cá nhân</v>
          </cell>
          <cell r="K78">
            <v>0</v>
          </cell>
          <cell r="L78">
            <v>1023000</v>
          </cell>
          <cell r="M78">
            <v>0</v>
          </cell>
          <cell r="N78">
            <v>1023000</v>
          </cell>
          <cell r="O78">
            <v>152</v>
          </cell>
          <cell r="P78">
            <v>0</v>
          </cell>
        </row>
        <row r="79">
          <cell r="G79">
            <v>3336</v>
          </cell>
          <cell r="H79" t="str">
            <v>Thuế tài nguyên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152</v>
          </cell>
          <cell r="P79">
            <v>0</v>
          </cell>
        </row>
        <row r="80">
          <cell r="G80">
            <v>3337</v>
          </cell>
          <cell r="H80" t="str">
            <v>Thuế nhà đất, tiền thuê đất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152</v>
          </cell>
          <cell r="P80">
            <v>0</v>
          </cell>
        </row>
        <row r="81">
          <cell r="G81">
            <v>3338</v>
          </cell>
          <cell r="H81" t="str">
            <v>Các loại thuế khác</v>
          </cell>
          <cell r="K81">
            <v>1000000</v>
          </cell>
          <cell r="L81">
            <v>1000000</v>
          </cell>
          <cell r="M81">
            <v>0</v>
          </cell>
          <cell r="N81">
            <v>0</v>
          </cell>
          <cell r="O81">
            <v>152</v>
          </cell>
          <cell r="P81">
            <v>0</v>
          </cell>
        </row>
        <row r="82">
          <cell r="G82">
            <v>3339</v>
          </cell>
          <cell r="H82" t="str">
            <v>Phí, lệ phí và các khoản phải nộp khác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152</v>
          </cell>
          <cell r="P82">
            <v>0</v>
          </cell>
        </row>
        <row r="83">
          <cell r="G83">
            <v>334</v>
          </cell>
          <cell r="H83" t="str">
            <v>Phải trả người lao động</v>
          </cell>
          <cell r="I83">
            <v>0</v>
          </cell>
          <cell r="J83">
            <v>0</v>
          </cell>
          <cell r="K83">
            <v>512500000</v>
          </cell>
          <cell r="L83">
            <v>512500000</v>
          </cell>
          <cell r="M83">
            <v>0</v>
          </cell>
          <cell r="N83">
            <v>0</v>
          </cell>
          <cell r="O83">
            <v>315</v>
          </cell>
          <cell r="P83" t="str">
            <v>x</v>
          </cell>
        </row>
        <row r="84">
          <cell r="G84">
            <v>3341</v>
          </cell>
          <cell r="H84" t="str">
            <v>Phải trả công nhân viên</v>
          </cell>
          <cell r="K84">
            <v>512500000</v>
          </cell>
          <cell r="L84">
            <v>512500000</v>
          </cell>
          <cell r="M84">
            <v>0</v>
          </cell>
          <cell r="N84">
            <v>0</v>
          </cell>
          <cell r="P84">
            <v>0</v>
          </cell>
        </row>
        <row r="85">
          <cell r="G85">
            <v>3348</v>
          </cell>
          <cell r="H85" t="str">
            <v>Phải trả người lao động khác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</row>
        <row r="86">
          <cell r="G86">
            <v>335</v>
          </cell>
          <cell r="H86" t="str">
            <v>Chi phí phải trả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316</v>
          </cell>
          <cell r="P86" t="str">
            <v>x</v>
          </cell>
        </row>
        <row r="87">
          <cell r="G87">
            <v>338</v>
          </cell>
          <cell r="H87" t="str">
            <v>Phải trả, phải nộp khác</v>
          </cell>
          <cell r="I87">
            <v>0</v>
          </cell>
          <cell r="J87">
            <v>0</v>
          </cell>
          <cell r="K87">
            <v>18910000</v>
          </cell>
          <cell r="L87">
            <v>28365000</v>
          </cell>
          <cell r="M87">
            <v>0</v>
          </cell>
          <cell r="N87">
            <v>9455000</v>
          </cell>
          <cell r="P87" t="str">
            <v>x</v>
          </cell>
        </row>
        <row r="88">
          <cell r="G88">
            <v>3381</v>
          </cell>
          <cell r="H88" t="str">
            <v>Tài sản thừa chờ giải quyết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318</v>
          </cell>
          <cell r="P88">
            <v>0</v>
          </cell>
        </row>
        <row r="89">
          <cell r="G89">
            <v>3382</v>
          </cell>
          <cell r="H89" t="str">
            <v>Kinh phí công đoàn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318</v>
          </cell>
          <cell r="P89">
            <v>0</v>
          </cell>
        </row>
        <row r="90">
          <cell r="G90">
            <v>3383</v>
          </cell>
          <cell r="H90" t="str">
            <v>Bảo hiểm xã hội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318</v>
          </cell>
          <cell r="P90">
            <v>0</v>
          </cell>
        </row>
        <row r="91">
          <cell r="G91">
            <v>3384</v>
          </cell>
          <cell r="H91" t="str">
            <v>Bảo hiểm y tế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318</v>
          </cell>
          <cell r="P91">
            <v>0</v>
          </cell>
        </row>
        <row r="92">
          <cell r="G92">
            <v>3385</v>
          </cell>
          <cell r="H92" t="str">
            <v>Phải trả về cổ phần hóa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318</v>
          </cell>
          <cell r="P92">
            <v>0</v>
          </cell>
        </row>
        <row r="93">
          <cell r="G93">
            <v>3386</v>
          </cell>
          <cell r="H93" t="str">
            <v>Nhận ký quỹ, ký cược ngắn hạn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318</v>
          </cell>
          <cell r="P93">
            <v>0</v>
          </cell>
        </row>
        <row r="94">
          <cell r="G94">
            <v>3387</v>
          </cell>
          <cell r="H94" t="str">
            <v>Doanh thu chưa thực hiện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328</v>
          </cell>
          <cell r="P94">
            <v>0</v>
          </cell>
        </row>
        <row r="95">
          <cell r="G95">
            <v>3388</v>
          </cell>
          <cell r="H95" t="str">
            <v>Phải trả, phải nộp khác</v>
          </cell>
          <cell r="K95">
            <v>18910000</v>
          </cell>
          <cell r="L95">
            <v>28365000</v>
          </cell>
          <cell r="M95">
            <v>0</v>
          </cell>
          <cell r="N95">
            <v>9455000</v>
          </cell>
          <cell r="O95">
            <v>318</v>
          </cell>
          <cell r="P95">
            <v>0</v>
          </cell>
        </row>
        <row r="96">
          <cell r="G96">
            <v>3389</v>
          </cell>
          <cell r="H96" t="str">
            <v>Bảo hiểm thất nghiệp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318</v>
          </cell>
          <cell r="P96">
            <v>0</v>
          </cell>
        </row>
        <row r="97">
          <cell r="G97">
            <v>341</v>
          </cell>
          <cell r="H97" t="str">
            <v>Vay. nợ dài hạn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331</v>
          </cell>
          <cell r="P97" t="str">
            <v>x</v>
          </cell>
        </row>
        <row r="98">
          <cell r="G98">
            <v>3411</v>
          </cell>
          <cell r="H98" t="str">
            <v>Vay dài hạn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0</v>
          </cell>
        </row>
        <row r="99">
          <cell r="G99">
            <v>3412</v>
          </cell>
          <cell r="H99" t="str">
            <v>Nợ dài hạn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0</v>
          </cell>
        </row>
        <row r="100">
          <cell r="G100">
            <v>3413</v>
          </cell>
          <cell r="H100" t="str">
            <v>Trái phiếu phát hành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</row>
        <row r="101">
          <cell r="G101">
            <v>34131</v>
          </cell>
          <cell r="H101" t="str">
            <v>Mệnh giá trái phiếu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</row>
        <row r="102">
          <cell r="G102">
            <v>34132</v>
          </cell>
          <cell r="H102" t="str">
            <v>Chiết khấu trái phiếu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0</v>
          </cell>
        </row>
        <row r="103">
          <cell r="G103">
            <v>34133</v>
          </cell>
          <cell r="H103" t="str">
            <v>Phụ trội trái phiếu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0</v>
          </cell>
        </row>
        <row r="104">
          <cell r="G104">
            <v>3414</v>
          </cell>
          <cell r="H104" t="str">
            <v>Nhận ký quỹ, ký cược dài hạn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P104">
            <v>0</v>
          </cell>
        </row>
        <row r="105">
          <cell r="G105">
            <v>351</v>
          </cell>
          <cell r="H105" t="str">
            <v>Quỹ dự phòng trợ cấp mất việc làm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332</v>
          </cell>
          <cell r="P105" t="str">
            <v>x</v>
          </cell>
        </row>
        <row r="106">
          <cell r="G106">
            <v>352</v>
          </cell>
          <cell r="H106" t="str">
            <v>Dự phòng phải trả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 t="str">
            <v>x</v>
          </cell>
        </row>
        <row r="107">
          <cell r="G107">
            <v>3521</v>
          </cell>
          <cell r="H107" t="str">
            <v>Dự phòng phải trả ngắn hạn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329</v>
          </cell>
          <cell r="P107">
            <v>0</v>
          </cell>
        </row>
        <row r="108">
          <cell r="G108">
            <v>3522</v>
          </cell>
          <cell r="H108" t="str">
            <v>Dự phòng phải trả dài hạn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339</v>
          </cell>
          <cell r="P108">
            <v>0</v>
          </cell>
        </row>
        <row r="109">
          <cell r="G109">
            <v>353</v>
          </cell>
          <cell r="H109" t="str">
            <v>Quỹ khen thưởng, phúc lợi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323</v>
          </cell>
          <cell r="P109" t="str">
            <v>x</v>
          </cell>
        </row>
        <row r="110">
          <cell r="G110">
            <v>3531</v>
          </cell>
          <cell r="H110" t="str">
            <v>Quỹ khen thưởng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0</v>
          </cell>
        </row>
        <row r="111">
          <cell r="G111">
            <v>3532</v>
          </cell>
          <cell r="H111" t="str">
            <v>Quỹ phúc lợi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P111">
            <v>0</v>
          </cell>
        </row>
        <row r="112">
          <cell r="G112">
            <v>3533</v>
          </cell>
          <cell r="H112" t="str">
            <v>Quỹ phúc lợi đã hình thành TSCĐ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0</v>
          </cell>
        </row>
        <row r="113">
          <cell r="G113">
            <v>3534</v>
          </cell>
          <cell r="H113" t="str">
            <v>Quỹ thưởng ban quản lý điều hành công ty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0</v>
          </cell>
        </row>
        <row r="114">
          <cell r="G114">
            <v>356</v>
          </cell>
          <cell r="H114" t="str">
            <v>Quỹ phát triển khoa học và công nghệ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336</v>
          </cell>
          <cell r="P114" t="str">
            <v>x</v>
          </cell>
        </row>
        <row r="115">
          <cell r="G115">
            <v>3561</v>
          </cell>
          <cell r="H115" t="str">
            <v>Quỹ phát triển khoa học và công nghệ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P115">
            <v>0</v>
          </cell>
        </row>
        <row r="116">
          <cell r="G116">
            <v>3562</v>
          </cell>
          <cell r="H116" t="str">
            <v>Quỹ phát triển khoa học và công nghệ đã hình thành TSCĐ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0</v>
          </cell>
        </row>
        <row r="117">
          <cell r="G117">
            <v>411</v>
          </cell>
          <cell r="H117" t="str">
            <v>Nguồn vốn kinh doanh</v>
          </cell>
          <cell r="I117">
            <v>0</v>
          </cell>
          <cell r="J117">
            <v>0</v>
          </cell>
          <cell r="K117">
            <v>0</v>
          </cell>
          <cell r="L117">
            <v>7000000000</v>
          </cell>
          <cell r="M117">
            <v>0</v>
          </cell>
          <cell r="N117">
            <v>7000000000</v>
          </cell>
          <cell r="P117" t="str">
            <v>x</v>
          </cell>
        </row>
        <row r="118">
          <cell r="G118">
            <v>4111</v>
          </cell>
          <cell r="H118" t="str">
            <v>Vốn đầu tư của chủ sở hữu</v>
          </cell>
          <cell r="K118">
            <v>0</v>
          </cell>
          <cell r="L118">
            <v>7000000000</v>
          </cell>
          <cell r="M118">
            <v>0</v>
          </cell>
          <cell r="N118">
            <v>7000000000</v>
          </cell>
          <cell r="O118">
            <v>411</v>
          </cell>
          <cell r="P118">
            <v>0</v>
          </cell>
        </row>
        <row r="119">
          <cell r="G119">
            <v>4112</v>
          </cell>
          <cell r="H119" t="str">
            <v>Thặng dư vốn cổ phần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412</v>
          </cell>
          <cell r="P119">
            <v>0</v>
          </cell>
        </row>
        <row r="120">
          <cell r="G120">
            <v>4118</v>
          </cell>
          <cell r="H120" t="str">
            <v>Vốn khác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413</v>
          </cell>
          <cell r="P120">
            <v>0</v>
          </cell>
        </row>
        <row r="121">
          <cell r="G121">
            <v>413</v>
          </cell>
          <cell r="H121" t="str">
            <v>Chênh lệch tỷ giá hối đoái</v>
          </cell>
          <cell r="K121">
            <v>10152725</v>
          </cell>
          <cell r="L121">
            <v>10152725</v>
          </cell>
          <cell r="M121">
            <v>0</v>
          </cell>
          <cell r="N121">
            <v>0</v>
          </cell>
          <cell r="O121">
            <v>415</v>
          </cell>
          <cell r="P121" t="str">
            <v>x</v>
          </cell>
        </row>
        <row r="122">
          <cell r="G122">
            <v>418</v>
          </cell>
          <cell r="H122" t="str">
            <v>Các quỹ thuộc vốn chủ sở hữu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416</v>
          </cell>
          <cell r="P122" t="str">
            <v>x</v>
          </cell>
        </row>
        <row r="123">
          <cell r="G123">
            <v>419</v>
          </cell>
          <cell r="H123" t="str">
            <v>Cổ phiếu quỹ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414</v>
          </cell>
          <cell r="P123" t="str">
            <v>x</v>
          </cell>
        </row>
        <row r="124">
          <cell r="G124">
            <v>421</v>
          </cell>
          <cell r="H124" t="str">
            <v>Lợi nhuận chưa phân phối</v>
          </cell>
          <cell r="I124">
            <v>0</v>
          </cell>
          <cell r="J124">
            <v>0</v>
          </cell>
          <cell r="K124">
            <v>1000000</v>
          </cell>
          <cell r="L124">
            <v>1445286192</v>
          </cell>
          <cell r="M124">
            <v>0</v>
          </cell>
          <cell r="N124">
            <v>1444286192</v>
          </cell>
          <cell r="O124">
            <v>417</v>
          </cell>
          <cell r="P124" t="str">
            <v>x</v>
          </cell>
        </row>
        <row r="125">
          <cell r="G125">
            <v>4211</v>
          </cell>
          <cell r="H125" t="str">
            <v>Lợi nhuận chưa phân phối năm trước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0</v>
          </cell>
        </row>
        <row r="126">
          <cell r="G126">
            <v>4212</v>
          </cell>
          <cell r="H126" t="str">
            <v>Lợi nhuận chưa phân phối năm nay</v>
          </cell>
          <cell r="K126">
            <v>1000000</v>
          </cell>
          <cell r="L126">
            <v>1445286192</v>
          </cell>
          <cell r="M126">
            <v>0</v>
          </cell>
          <cell r="N126">
            <v>1444286192</v>
          </cell>
          <cell r="P126">
            <v>0</v>
          </cell>
        </row>
        <row r="127">
          <cell r="G127">
            <v>511</v>
          </cell>
          <cell r="H127" t="str">
            <v>Doanh thu bán hàng và cung cấp dịch vụ</v>
          </cell>
          <cell r="I127">
            <v>0</v>
          </cell>
          <cell r="J127">
            <v>0</v>
          </cell>
          <cell r="K127">
            <v>7715000000</v>
          </cell>
          <cell r="L127">
            <v>7715000000</v>
          </cell>
          <cell r="M127">
            <v>0</v>
          </cell>
          <cell r="N127">
            <v>0</v>
          </cell>
          <cell r="P127" t="str">
            <v>x</v>
          </cell>
        </row>
        <row r="128">
          <cell r="G128">
            <v>5111</v>
          </cell>
          <cell r="H128" t="str">
            <v>Doanh thu bán hàng hóa</v>
          </cell>
          <cell r="K128">
            <v>2715000000</v>
          </cell>
          <cell r="L128">
            <v>2715000000</v>
          </cell>
          <cell r="M128">
            <v>0</v>
          </cell>
          <cell r="N128">
            <v>0</v>
          </cell>
          <cell r="P128">
            <v>0</v>
          </cell>
        </row>
        <row r="129">
          <cell r="G129">
            <v>5112</v>
          </cell>
          <cell r="H129" t="str">
            <v>Doanh thu bán các thành phẩm</v>
          </cell>
          <cell r="K129">
            <v>5000000000</v>
          </cell>
          <cell r="L129">
            <v>5000000000</v>
          </cell>
          <cell r="M129">
            <v>0</v>
          </cell>
          <cell r="N129">
            <v>0</v>
          </cell>
          <cell r="P129">
            <v>0</v>
          </cell>
        </row>
        <row r="130">
          <cell r="G130">
            <v>5113</v>
          </cell>
          <cell r="H130" t="str">
            <v>Doanh thu cung cấp dịch vụ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0</v>
          </cell>
        </row>
        <row r="131">
          <cell r="G131">
            <v>5118</v>
          </cell>
          <cell r="H131" t="str">
            <v>Doanh thu khác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P131">
            <v>0</v>
          </cell>
        </row>
        <row r="132">
          <cell r="G132">
            <v>515</v>
          </cell>
          <cell r="H132" t="str">
            <v>Doanh thu hoạt động tài chính</v>
          </cell>
          <cell r="K132">
            <v>59717120</v>
          </cell>
          <cell r="L132">
            <v>59717120</v>
          </cell>
          <cell r="M132">
            <v>0</v>
          </cell>
          <cell r="N132">
            <v>0</v>
          </cell>
          <cell r="P132" t="str">
            <v>x</v>
          </cell>
        </row>
        <row r="133">
          <cell r="G133">
            <v>521</v>
          </cell>
          <cell r="H133" t="str">
            <v>Các khoản giảm trừ doanh thu</v>
          </cell>
          <cell r="I133">
            <v>0</v>
          </cell>
          <cell r="J133">
            <v>0</v>
          </cell>
          <cell r="K133">
            <v>120000000</v>
          </cell>
          <cell r="L133">
            <v>120000000</v>
          </cell>
          <cell r="M133">
            <v>0</v>
          </cell>
          <cell r="N133">
            <v>0</v>
          </cell>
          <cell r="P133" t="str">
            <v>x</v>
          </cell>
        </row>
        <row r="134">
          <cell r="G134">
            <v>5211</v>
          </cell>
          <cell r="H134" t="str">
            <v xml:space="preserve">Chiết khấu thương mại 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0</v>
          </cell>
        </row>
        <row r="135">
          <cell r="G135">
            <v>5212</v>
          </cell>
          <cell r="H135" t="str">
            <v xml:space="preserve">Hàng bán bị trả lại </v>
          </cell>
          <cell r="K135">
            <v>120000000</v>
          </cell>
          <cell r="L135">
            <v>120000000</v>
          </cell>
          <cell r="M135">
            <v>0</v>
          </cell>
          <cell r="N135">
            <v>0</v>
          </cell>
          <cell r="P135">
            <v>0</v>
          </cell>
        </row>
        <row r="136">
          <cell r="G136">
            <v>5213</v>
          </cell>
          <cell r="H136" t="str">
            <v>Giảm giá hàng bán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P136">
            <v>0</v>
          </cell>
        </row>
        <row r="137">
          <cell r="G137">
            <v>611</v>
          </cell>
          <cell r="H137" t="str">
            <v>Mua hàng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 t="str">
            <v>x</v>
          </cell>
        </row>
        <row r="138">
          <cell r="G138">
            <v>631</v>
          </cell>
          <cell r="H138" t="str">
            <v xml:space="preserve">Giá thành sản xuất 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 t="str">
            <v>x</v>
          </cell>
        </row>
        <row r="139">
          <cell r="G139">
            <v>632</v>
          </cell>
          <cell r="H139" t="str">
            <v>Giá vốn hàng bán</v>
          </cell>
          <cell r="K139">
            <v>5626489000</v>
          </cell>
          <cell r="L139">
            <v>5626489000</v>
          </cell>
          <cell r="M139">
            <v>0</v>
          </cell>
          <cell r="N139">
            <v>0</v>
          </cell>
          <cell r="P139" t="str">
            <v>x</v>
          </cell>
        </row>
        <row r="140">
          <cell r="G140">
            <v>635</v>
          </cell>
          <cell r="H140" t="str">
            <v>Chi phí tài chính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 t="str">
            <v>x</v>
          </cell>
        </row>
        <row r="141">
          <cell r="G141">
            <v>6351</v>
          </cell>
          <cell r="H141" t="str">
            <v>Chi phí lãi vay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0</v>
          </cell>
        </row>
        <row r="142">
          <cell r="G142">
            <v>6352</v>
          </cell>
          <cell r="H142" t="str">
            <v>Chi phí tài chính khác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0</v>
          </cell>
        </row>
        <row r="143">
          <cell r="G143">
            <v>642</v>
          </cell>
          <cell r="H143" t="str">
            <v>Chi phí quản lý kinh doanh</v>
          </cell>
          <cell r="I143">
            <v>0</v>
          </cell>
          <cell r="J143">
            <v>0</v>
          </cell>
          <cell r="K143">
            <v>202504314</v>
          </cell>
          <cell r="L143">
            <v>202504314</v>
          </cell>
          <cell r="M143">
            <v>0</v>
          </cell>
          <cell r="N143">
            <v>0</v>
          </cell>
          <cell r="P143" t="str">
            <v>x</v>
          </cell>
        </row>
        <row r="144">
          <cell r="G144">
            <v>6421</v>
          </cell>
          <cell r="H144" t="str">
            <v>Chi phí bán hàng</v>
          </cell>
          <cell r="K144">
            <v>21820000</v>
          </cell>
          <cell r="L144">
            <v>21820000</v>
          </cell>
          <cell r="M144">
            <v>0</v>
          </cell>
          <cell r="N144">
            <v>0</v>
          </cell>
          <cell r="P144">
            <v>0</v>
          </cell>
        </row>
        <row r="145">
          <cell r="G145">
            <v>6422</v>
          </cell>
          <cell r="H145" t="str">
            <v>Chi phí quản lý doanh nghiệp</v>
          </cell>
          <cell r="K145">
            <v>180684314</v>
          </cell>
          <cell r="L145">
            <v>180684314</v>
          </cell>
          <cell r="M145">
            <v>0</v>
          </cell>
          <cell r="N145">
            <v>0</v>
          </cell>
          <cell r="P145">
            <v>0</v>
          </cell>
        </row>
        <row r="146">
          <cell r="G146">
            <v>711</v>
          </cell>
          <cell r="H146" t="str">
            <v>Thu nhập khác</v>
          </cell>
          <cell r="K146">
            <v>50000000</v>
          </cell>
          <cell r="L146">
            <v>50000000</v>
          </cell>
          <cell r="M146">
            <v>0</v>
          </cell>
          <cell r="N146">
            <v>0</v>
          </cell>
          <cell r="P146" t="str">
            <v>x</v>
          </cell>
        </row>
        <row r="147">
          <cell r="G147">
            <v>811</v>
          </cell>
          <cell r="H147" t="str">
            <v>Chi phí khác</v>
          </cell>
          <cell r="K147">
            <v>59000000</v>
          </cell>
          <cell r="L147">
            <v>59000000</v>
          </cell>
          <cell r="M147">
            <v>0</v>
          </cell>
          <cell r="N147">
            <v>0</v>
          </cell>
          <cell r="P147" t="str">
            <v>x</v>
          </cell>
        </row>
        <row r="148">
          <cell r="G148">
            <v>821</v>
          </cell>
          <cell r="H148" t="str">
            <v>Chi phí thuế thu nhập doanh nghiệp</v>
          </cell>
          <cell r="K148">
            <v>481762064</v>
          </cell>
          <cell r="L148">
            <v>481762064</v>
          </cell>
          <cell r="M148">
            <v>0</v>
          </cell>
          <cell r="N148">
            <v>0</v>
          </cell>
          <cell r="P148" t="str">
            <v>x</v>
          </cell>
        </row>
        <row r="149">
          <cell r="G149">
            <v>911</v>
          </cell>
          <cell r="H149" t="str">
            <v>Xác định kết quả kinh doanh</v>
          </cell>
          <cell r="K149">
            <v>7705717120</v>
          </cell>
          <cell r="L149">
            <v>7705717120</v>
          </cell>
          <cell r="M149">
            <v>0</v>
          </cell>
          <cell r="N149">
            <v>0</v>
          </cell>
          <cell r="P149" t="str">
            <v>x</v>
          </cell>
        </row>
        <row r="150">
          <cell r="G150" t="str">
            <v>001</v>
          </cell>
          <cell r="H150" t="str">
            <v>Tài sản thuê ngoài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P150">
            <v>0</v>
          </cell>
        </row>
        <row r="151">
          <cell r="G151" t="str">
            <v>002</v>
          </cell>
          <cell r="H151" t="str">
            <v>Vật tư, hàng hóa nhận giữ hộ, gia công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</row>
        <row r="152">
          <cell r="G152" t="str">
            <v>003</v>
          </cell>
          <cell r="H152" t="str">
            <v>Hàng hóa nhận bán hộ, nhận ký gửi, ký cược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0</v>
          </cell>
        </row>
        <row r="153">
          <cell r="G153" t="str">
            <v>004</v>
          </cell>
          <cell r="H153" t="str">
            <v>Nợ khó đòi đã xử lý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0</v>
          </cell>
        </row>
        <row r="154">
          <cell r="G154" t="str">
            <v>005</v>
          </cell>
          <cell r="H154" t="str">
            <v>Ngoại tệ các loại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0</v>
          </cell>
        </row>
      </sheetData>
      <sheetData sheetId="31" refreshError="1"/>
      <sheetData sheetId="32" refreshError="1"/>
      <sheetData sheetId="33">
        <row r="16">
          <cell r="Q16" t="str">
            <v>M01_T</v>
          </cell>
        </row>
        <row r="17">
          <cell r="Q17" t="str">
            <v>M02_C</v>
          </cell>
        </row>
        <row r="18">
          <cell r="Q18" t="str">
            <v>M03_C</v>
          </cell>
        </row>
        <row r="19">
          <cell r="Q19" t="str">
            <v>M04_C</v>
          </cell>
        </row>
        <row r="20">
          <cell r="Q20" t="str">
            <v>M05_C</v>
          </cell>
        </row>
        <row r="21">
          <cell r="Q21" t="str">
            <v>M06_T</v>
          </cell>
        </row>
        <row r="22">
          <cell r="Q22" t="str">
            <v>M07_C</v>
          </cell>
        </row>
        <row r="25">
          <cell r="Q25" t="str">
            <v>M21_C</v>
          </cell>
        </row>
        <row r="26">
          <cell r="Q26" t="str">
            <v>M22_T</v>
          </cell>
        </row>
        <row r="27">
          <cell r="Q27" t="str">
            <v>M23_C</v>
          </cell>
        </row>
        <row r="28">
          <cell r="Q28" t="str">
            <v>M24_T</v>
          </cell>
        </row>
        <row r="29">
          <cell r="Q29" t="str">
            <v>M25_C</v>
          </cell>
        </row>
        <row r="30">
          <cell r="Q30" t="str">
            <v>M26_T</v>
          </cell>
        </row>
        <row r="31">
          <cell r="Q31" t="str">
            <v>M27_T</v>
          </cell>
        </row>
        <row r="34">
          <cell r="Q34" t="str">
            <v>M31_T</v>
          </cell>
        </row>
        <row r="35">
          <cell r="Q35" t="str">
            <v>M32_C</v>
          </cell>
        </row>
        <row r="36">
          <cell r="Q36" t="str">
            <v>M33_T</v>
          </cell>
        </row>
        <row r="37">
          <cell r="Q37" t="str">
            <v>M34_C</v>
          </cell>
        </row>
        <row r="38">
          <cell r="Q38" t="str">
            <v>M35_C</v>
          </cell>
        </row>
        <row r="39">
          <cell r="Q39" t="str">
            <v>M36_C</v>
          </cell>
        </row>
      </sheetData>
      <sheetData sheetId="34" refreshError="1"/>
      <sheetData sheetId="35" refreshError="1"/>
      <sheetData sheetId="36" refreshError="1"/>
      <sheetData sheetId="37">
        <row r="191">
          <cell r="D191" t="str">
            <v>NL</v>
          </cell>
        </row>
        <row r="192">
          <cell r="D192" t="str">
            <v>NC</v>
          </cell>
        </row>
        <row r="193">
          <cell r="D193" t="str">
            <v>KH</v>
          </cell>
        </row>
        <row r="194">
          <cell r="D194" t="str">
            <v>DV</v>
          </cell>
        </row>
        <row r="195">
          <cell r="D195" t="str">
            <v>PK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>
        <row r="8">
          <cell r="G8">
            <v>0</v>
          </cell>
          <cell r="I8">
            <v>0.05</v>
          </cell>
        </row>
        <row r="9">
          <cell r="G9">
            <v>5000000</v>
          </cell>
          <cell r="I9">
            <v>0.1</v>
          </cell>
        </row>
        <row r="10">
          <cell r="G10">
            <v>10000000</v>
          </cell>
          <cell r="I10">
            <v>0.15</v>
          </cell>
        </row>
        <row r="11">
          <cell r="G11">
            <v>18000000</v>
          </cell>
          <cell r="I11">
            <v>0.2</v>
          </cell>
        </row>
        <row r="12">
          <cell r="G12">
            <v>32000000</v>
          </cell>
          <cell r="I12">
            <v>0.25</v>
          </cell>
        </row>
        <row r="13">
          <cell r="G13">
            <v>52000000</v>
          </cell>
          <cell r="I13">
            <v>0.3</v>
          </cell>
        </row>
        <row r="14">
          <cell r="G14">
            <v>80000000</v>
          </cell>
          <cell r="I14">
            <v>0.35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14">
          <cell r="F14" t="str">
            <v>VKD</v>
          </cell>
        </row>
        <row r="15">
          <cell r="F15" t="str">
            <v>TDV</v>
          </cell>
        </row>
        <row r="16">
          <cell r="F16" t="str">
            <v>CVT</v>
          </cell>
        </row>
        <row r="17">
          <cell r="F17" t="str">
            <v>HML</v>
          </cell>
        </row>
        <row r="18">
          <cell r="F18" t="str">
            <v>PTH</v>
          </cell>
        </row>
        <row r="19">
          <cell r="F19" t="str">
            <v>CNA1</v>
          </cell>
        </row>
        <row r="20">
          <cell r="F20" t="str">
            <v>CNA2</v>
          </cell>
        </row>
      </sheetData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B1" t="str">
            <v>An Giang</v>
          </cell>
        </row>
        <row r="2">
          <cell r="B2" t="str">
            <v>Bà Rịa - Vũng Tàu</v>
          </cell>
        </row>
        <row r="3">
          <cell r="B3" t="str">
            <v>Bạc Liêu</v>
          </cell>
        </row>
        <row r="4">
          <cell r="B4" t="str">
            <v>Bắc Kạn</v>
          </cell>
        </row>
        <row r="5">
          <cell r="B5" t="str">
            <v>Bắc Giang</v>
          </cell>
        </row>
        <row r="6">
          <cell r="B6" t="str">
            <v>Bắc Ninh</v>
          </cell>
        </row>
        <row r="7">
          <cell r="B7" t="str">
            <v>Bến Tre</v>
          </cell>
        </row>
        <row r="8">
          <cell r="B8" t="str">
            <v>Bình Dương</v>
          </cell>
        </row>
        <row r="9">
          <cell r="B9" t="str">
            <v>Bình Định</v>
          </cell>
        </row>
        <row r="10">
          <cell r="B10" t="str">
            <v>Bình Phước</v>
          </cell>
        </row>
        <row r="11">
          <cell r="B11" t="str">
            <v>Bình Thuận</v>
          </cell>
        </row>
        <row r="12">
          <cell r="B12" t="str">
            <v>Cà Mau</v>
          </cell>
        </row>
        <row r="13">
          <cell r="B13" t="str">
            <v>Cao Bằng</v>
          </cell>
        </row>
        <row r="14">
          <cell r="B14" t="str">
            <v>Cần Thơ</v>
          </cell>
        </row>
        <row r="15">
          <cell r="B15" t="str">
            <v>Đà Nẵng</v>
          </cell>
        </row>
        <row r="16">
          <cell r="B16" t="str">
            <v>Đắc Lắc</v>
          </cell>
        </row>
        <row r="17">
          <cell r="B17" t="str">
            <v>Đắc Nông</v>
          </cell>
        </row>
        <row r="18">
          <cell r="B18" t="str">
            <v>Điện Biên</v>
          </cell>
        </row>
        <row r="19">
          <cell r="B19" t="str">
            <v>Đồng Nai</v>
          </cell>
        </row>
        <row r="20">
          <cell r="B20" t="str">
            <v>Đồng Tháp</v>
          </cell>
        </row>
        <row r="21">
          <cell r="B21" t="str">
            <v>Gia Lai</v>
          </cell>
        </row>
        <row r="22">
          <cell r="B22" t="str">
            <v>Hà Giang</v>
          </cell>
        </row>
        <row r="23">
          <cell r="B23" t="str">
            <v>Hà Nam</v>
          </cell>
        </row>
        <row r="24">
          <cell r="B24" t="str">
            <v>Hà Nội</v>
          </cell>
        </row>
        <row r="25">
          <cell r="B25" t="str">
            <v>Hà Tĩnh</v>
          </cell>
        </row>
        <row r="26">
          <cell r="B26" t="str">
            <v>Hải Dương</v>
          </cell>
        </row>
        <row r="27">
          <cell r="B27" t="str">
            <v>Hải Phòng</v>
          </cell>
        </row>
        <row r="28">
          <cell r="B28" t="str">
            <v>Hậu Giang</v>
          </cell>
          <cell r="I28" t="str">
            <v>MT</v>
          </cell>
        </row>
        <row r="29">
          <cell r="B29" t="str">
            <v>Hòa Bình</v>
          </cell>
          <cell r="I29" t="str">
            <v>0</v>
          </cell>
        </row>
        <row r="30">
          <cell r="B30" t="str">
            <v>Hồ Chí Minh</v>
          </cell>
          <cell r="I30" t="str">
            <v>5</v>
          </cell>
        </row>
        <row r="31">
          <cell r="B31" t="str">
            <v>Hưng Yên</v>
          </cell>
          <cell r="I31" t="str">
            <v>10</v>
          </cell>
        </row>
        <row r="32">
          <cell r="B32" t="str">
            <v>Khánh Hòa</v>
          </cell>
        </row>
        <row r="33">
          <cell r="B33" t="str">
            <v>Kiên Giang</v>
          </cell>
        </row>
        <row r="34">
          <cell r="B34" t="str">
            <v>Kom Tum</v>
          </cell>
        </row>
        <row r="35">
          <cell r="B35" t="str">
            <v>Lai Châu</v>
          </cell>
        </row>
        <row r="36">
          <cell r="B36" t="str">
            <v>Lạng Sơn</v>
          </cell>
          <cell r="C36">
            <v>1</v>
          </cell>
          <cell r="D36">
            <v>2</v>
          </cell>
          <cell r="E36">
            <v>3</v>
          </cell>
          <cell r="F36">
            <v>4</v>
          </cell>
          <cell r="G36">
            <v>5</v>
          </cell>
          <cell r="H36">
            <v>6</v>
          </cell>
          <cell r="I36">
            <v>7</v>
          </cell>
          <cell r="J36">
            <v>8</v>
          </cell>
        </row>
        <row r="37">
          <cell r="B37" t="str">
            <v>Lào Cai</v>
          </cell>
          <cell r="C37" t="str">
            <v>TÊN</v>
          </cell>
          <cell r="D37" t="str">
            <v>TÊN TRÊN BÌA</v>
          </cell>
          <cell r="E37" t="str">
            <v>GHI CHÚ</v>
          </cell>
          <cell r="F37" t="str">
            <v>TK cấp 1</v>
          </cell>
          <cell r="G37" t="str">
            <v>TK cấp 2</v>
          </cell>
          <cell r="H37" t="str">
            <v>Quyển số:</v>
          </cell>
          <cell r="I37" t="str">
            <v>Năm</v>
          </cell>
          <cell r="J37" t="str">
            <v>Sô hiệu</v>
          </cell>
        </row>
        <row r="38">
          <cell r="B38" t="str">
            <v>Lâm Đồng</v>
          </cell>
          <cell r="C38" t="str">
            <v>Sổ cái</v>
          </cell>
          <cell r="H38" t="str">
            <v>Quyển số:</v>
          </cell>
          <cell r="I38">
            <v>41274</v>
          </cell>
        </row>
        <row r="39">
          <cell r="B39" t="str">
            <v>Long An</v>
          </cell>
          <cell r="C39" t="str">
            <v>Nhật ký chung</v>
          </cell>
          <cell r="D39" t="str">
            <v>NHẬT KÝ CHUNG</v>
          </cell>
          <cell r="H39" t="str">
            <v>Quyển số:</v>
          </cell>
          <cell r="I39">
            <v>41274</v>
          </cell>
        </row>
        <row r="40">
          <cell r="B40" t="str">
            <v>Nam Định</v>
          </cell>
          <cell r="C40" t="str">
            <v>Sổ quỹ tiền mặt</v>
          </cell>
          <cell r="D40" t="str">
            <v>QUỸ TIỀN MẶT</v>
          </cell>
          <cell r="E40" t="str">
            <v>Loại quỹ:</v>
          </cell>
          <cell r="H40" t="str">
            <v>Quyển số:</v>
          </cell>
          <cell r="I40">
            <v>41274</v>
          </cell>
        </row>
        <row r="41">
          <cell r="B41" t="str">
            <v>Nghệ An</v>
          </cell>
          <cell r="C41" t="str">
            <v>Sổ tiền gửi ngân hàng</v>
          </cell>
          <cell r="D41" t="str">
            <v>TIỀN GỬI NGÂN HÀNG</v>
          </cell>
          <cell r="F41" t="str">
            <v xml:space="preserve"> - Tài khoản cấp I:…………………………….</v>
          </cell>
          <cell r="G41" t="str">
            <v xml:space="preserve"> - Tài khoản cấp II:…………………………….</v>
          </cell>
          <cell r="H41" t="str">
            <v>Quyển số:</v>
          </cell>
          <cell r="I41">
            <v>41274</v>
          </cell>
          <cell r="J41" t="str">
            <v>Số hiệu tài khoản ngân hàng:</v>
          </cell>
        </row>
        <row r="42">
          <cell r="B42" t="str">
            <v>Ninh Bình</v>
          </cell>
          <cell r="C42" t="str">
            <v>Sổ chi tiết vật liệu, sản phẩm, hàng hóa</v>
          </cell>
          <cell r="D42" t="str">
            <v>VẬT LIỆU, SẢN PHẨM, HÀNG HÓA</v>
          </cell>
          <cell r="F42" t="str">
            <v>TÀI KHOẢN:…………………………………….</v>
          </cell>
          <cell r="G42" t="str">
            <v>TIỂU KHOẢN:…………………………………..</v>
          </cell>
          <cell r="H42" t="str">
            <v>Quyển số:</v>
          </cell>
          <cell r="I42">
            <v>41274</v>
          </cell>
          <cell r="J42" t="str">
            <v>KHO:</v>
          </cell>
        </row>
        <row r="43">
          <cell r="B43" t="str">
            <v>Ninh Thuận</v>
          </cell>
          <cell r="C43" t="str">
            <v>Sổ tài sản cố định</v>
          </cell>
          <cell r="D43" t="str">
            <v>TÀI SẢN CỐ ĐỊNH</v>
          </cell>
          <cell r="H43" t="str">
            <v>Quyển số:</v>
          </cell>
          <cell r="I43">
            <v>41274</v>
          </cell>
        </row>
        <row r="44">
          <cell r="B44" t="str">
            <v>Phú Thọ</v>
          </cell>
          <cell r="C44" t="str">
            <v>Sổ nhật ký chi tiền</v>
          </cell>
          <cell r="D44" t="str">
            <v>NHẬT KÝ CHI TIỀN</v>
          </cell>
          <cell r="H44" t="str">
            <v>Quyển số:</v>
          </cell>
          <cell r="I44">
            <v>41274</v>
          </cell>
        </row>
        <row r="45">
          <cell r="B45" t="str">
            <v>Phú Yên</v>
          </cell>
          <cell r="C45" t="str">
            <v>Sổ nhật ký thu tiền</v>
          </cell>
          <cell r="D45" t="str">
            <v>NHẬT KÝ THU TIỀN</v>
          </cell>
          <cell r="E45" t="str">
            <v xml:space="preserve"> </v>
          </cell>
          <cell r="H45" t="str">
            <v>Quyển số:</v>
          </cell>
          <cell r="I45">
            <v>41274</v>
          </cell>
        </row>
        <row r="46">
          <cell r="B46" t="str">
            <v>Quảng Bình</v>
          </cell>
          <cell r="C46" t="str">
            <v>Sổ nhật ký mua hàng</v>
          </cell>
          <cell r="D46" t="str">
            <v>NHẬT KÝ MUA HÀNG</v>
          </cell>
          <cell r="H46" t="str">
            <v>Quyển số:</v>
          </cell>
          <cell r="I46">
            <v>41274</v>
          </cell>
        </row>
        <row r="47">
          <cell r="B47" t="str">
            <v>Quảng Nam</v>
          </cell>
          <cell r="C47" t="str">
            <v>Sổ nhật ký bán hàng</v>
          </cell>
          <cell r="D47" t="str">
            <v>NHẬT KÝ BÁN HÀNG</v>
          </cell>
          <cell r="H47" t="str">
            <v>Quyển số:</v>
          </cell>
          <cell r="I47">
            <v>41274</v>
          </cell>
        </row>
        <row r="48">
          <cell r="B48" t="str">
            <v>Quảng Ngãi</v>
          </cell>
          <cell r="C48" t="str">
            <v>Sổ chi phí sản xuất kinh doanh</v>
          </cell>
          <cell r="D48" t="str">
            <v>CHI PHÍ SẢN XUẤT KINH DOANH</v>
          </cell>
          <cell r="F48" t="str">
            <v>Tài khoản:</v>
          </cell>
          <cell r="H48" t="str">
            <v>Quyển số:</v>
          </cell>
          <cell r="I48">
            <v>41274</v>
          </cell>
        </row>
        <row r="49">
          <cell r="B49" t="str">
            <v>Quảng Ninh</v>
          </cell>
          <cell r="C49" t="str">
            <v>Sổ chi tiết thanh toán</v>
          </cell>
          <cell r="D49" t="str">
            <v>CHI TIẾT THANH TOÁN</v>
          </cell>
          <cell r="E49" t="str">
            <v>Với người mua, người bán</v>
          </cell>
          <cell r="F49" t="str">
            <v>Tài khoản:</v>
          </cell>
          <cell r="H49" t="str">
            <v>Quyển số:</v>
          </cell>
          <cell r="I49">
            <v>41274</v>
          </cell>
        </row>
        <row r="50">
          <cell r="B50" t="str">
            <v>Quảng Trị</v>
          </cell>
          <cell r="C50" t="str">
            <v>Sổ chi tiết các tài khoản</v>
          </cell>
          <cell r="D50" t="str">
            <v>CHI TIẾT CÁC TÀI KHOẢN</v>
          </cell>
          <cell r="F50" t="str">
            <v>Tài khoản:</v>
          </cell>
          <cell r="H50" t="str">
            <v>Quyển số:</v>
          </cell>
          <cell r="I50">
            <v>41274</v>
          </cell>
        </row>
        <row r="51">
          <cell r="B51" t="str">
            <v>Sóc Trăng</v>
          </cell>
        </row>
        <row r="52">
          <cell r="B52" t="str">
            <v>Sơn La</v>
          </cell>
        </row>
        <row r="53">
          <cell r="B53" t="str">
            <v>Tây Ninh</v>
          </cell>
          <cell r="C53" t="str">
            <v>BR_01</v>
          </cell>
        </row>
        <row r="54">
          <cell r="B54" t="str">
            <v>Thái Bình</v>
          </cell>
          <cell r="C54" t="str">
            <v>BR_02</v>
          </cell>
        </row>
        <row r="55">
          <cell r="B55" t="str">
            <v>Thái Nguyên</v>
          </cell>
          <cell r="C55" t="str">
            <v>BR_03</v>
          </cell>
        </row>
        <row r="56">
          <cell r="B56" t="str">
            <v>Thanh Hóa</v>
          </cell>
          <cell r="C56" t="str">
            <v>BR_04</v>
          </cell>
        </row>
        <row r="57">
          <cell r="B57" t="str">
            <v>Thừa Thiên Huế</v>
          </cell>
          <cell r="C57" t="str">
            <v>BR_05</v>
          </cell>
        </row>
        <row r="58">
          <cell r="B58" t="str">
            <v>Tiền Giang</v>
          </cell>
        </row>
        <row r="59">
          <cell r="B59" t="str">
            <v>Trà Vinh</v>
          </cell>
          <cell r="C59" t="str">
            <v>MV_01</v>
          </cell>
        </row>
        <row r="60">
          <cell r="B60" t="str">
            <v>Tuyên Quang</v>
          </cell>
          <cell r="C60" t="str">
            <v>MV_02</v>
          </cell>
        </row>
        <row r="61">
          <cell r="B61" t="str">
            <v>Vĩnh Long</v>
          </cell>
          <cell r="C61" t="str">
            <v>MV_03</v>
          </cell>
        </row>
        <row r="62">
          <cell r="B62" t="str">
            <v>Vĩnh Phúc</v>
          </cell>
          <cell r="C62" t="str">
            <v>MV_04</v>
          </cell>
        </row>
        <row r="63">
          <cell r="B63" t="str">
            <v>Yên Bái</v>
          </cell>
          <cell r="C63" t="str">
            <v>MV_05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showGridLines="0" zoomScale="93" zoomScaleNormal="93" workbookViewId="0">
      <selection activeCell="L17" sqref="L17"/>
    </sheetView>
  </sheetViews>
  <sheetFormatPr defaultColWidth="9" defaultRowHeight="15" x14ac:dyDescent="0.25"/>
  <cols>
    <col min="1" max="18" width="8.7109375" style="1" customWidth="1"/>
    <col min="19" max="16384" width="9" style="1"/>
  </cols>
  <sheetData>
    <row r="1" spans="1:16" ht="14.25" customHeight="1" x14ac:dyDescent="0.25">
      <c r="A1" s="3"/>
      <c r="B1" s="2"/>
      <c r="C1" s="2"/>
      <c r="D1" s="2"/>
      <c r="E1" s="2"/>
      <c r="F1" s="2"/>
      <c r="G1" s="30" t="str">
        <f ca="1">"Hôm nay, …. " &amp; TEXT(NOW(),"hh:mm") &amp; " ngày "&amp;TEXT(NOW(),"dd/mm/yyyy")</f>
        <v>Hôm nay, …. 11:12 ngày 24/12/2025</v>
      </c>
      <c r="H1" s="30"/>
      <c r="I1" s="30"/>
      <c r="J1" s="30"/>
      <c r="K1" s="30"/>
      <c r="L1" s="30"/>
      <c r="M1" s="30"/>
      <c r="N1" s="2"/>
      <c r="O1" s="2"/>
      <c r="P1" s="2"/>
    </row>
    <row r="2" spans="1:16" ht="14.25" customHeight="1" x14ac:dyDescent="0.25">
      <c r="A2" s="3"/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6"/>
      <c r="O2" s="2"/>
      <c r="P2" s="2"/>
    </row>
    <row r="3" spans="1:16" ht="18.75" x14ac:dyDescent="0.25">
      <c r="A3" s="3"/>
      <c r="B3" s="4"/>
      <c r="C3" s="4"/>
      <c r="D3" s="4"/>
      <c r="E3" s="4"/>
      <c r="F3" s="4"/>
      <c r="G3" s="4"/>
      <c r="H3" s="5"/>
      <c r="I3" s="5"/>
      <c r="J3" s="5"/>
      <c r="K3" s="5"/>
      <c r="L3" s="5"/>
      <c r="M3" s="5"/>
      <c r="N3" s="6"/>
      <c r="O3" s="2"/>
      <c r="P3" s="2"/>
    </row>
    <row r="4" spans="1:16" x14ac:dyDescent="0.2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"/>
      <c r="O4" s="2"/>
      <c r="P4" s="2"/>
    </row>
    <row r="5" spans="1:1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2"/>
      <c r="O5" s="2"/>
      <c r="P5" s="2"/>
    </row>
    <row r="6" spans="1:1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2"/>
      <c r="O6" s="2"/>
      <c r="P6" s="2"/>
    </row>
    <row r="7" spans="1:1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2"/>
      <c r="O7" s="2"/>
      <c r="P7" s="2"/>
    </row>
    <row r="8" spans="1:1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"/>
      <c r="O8" s="2"/>
      <c r="P8" s="2"/>
    </row>
    <row r="9" spans="1:1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2"/>
      <c r="O9" s="2"/>
      <c r="P9" s="2"/>
    </row>
    <row r="10" spans="1:1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"/>
      <c r="O10" s="2"/>
      <c r="P10" s="2"/>
    </row>
    <row r="11" spans="1:16" ht="20.100000000000001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2"/>
      <c r="O11" s="2"/>
      <c r="P11" s="2"/>
    </row>
    <row r="12" spans="1:16" ht="20.100000000000001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2"/>
      <c r="O12" s="2"/>
      <c r="P12" s="2"/>
    </row>
    <row r="13" spans="1:16" ht="20.100000000000001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2"/>
      <c r="O13" s="2"/>
      <c r="P13" s="2"/>
    </row>
    <row r="14" spans="1:16" ht="20.100000000000001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2"/>
      <c r="O14" s="2"/>
      <c r="P14" s="2"/>
    </row>
    <row r="15" spans="1:16" ht="20.100000000000001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  <c r="O15" s="2"/>
      <c r="P15" s="2"/>
    </row>
    <row r="16" spans="1:16" ht="20.100000000000001" customHeight="1" x14ac:dyDescent="0.25">
      <c r="A16" s="4"/>
      <c r="B16" s="4"/>
      <c r="C16" s="4"/>
      <c r="D16" s="4"/>
      <c r="E16" s="4"/>
      <c r="F16" s="29"/>
      <c r="G16" s="29"/>
      <c r="H16" s="4"/>
      <c r="I16" s="4"/>
      <c r="J16" s="4"/>
      <c r="K16" s="4"/>
      <c r="L16" s="4"/>
      <c r="M16" s="4"/>
      <c r="N16" s="2"/>
      <c r="O16" s="2"/>
      <c r="P16" s="2"/>
    </row>
    <row r="17" spans="1:16" ht="20.100000000000001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2"/>
      <c r="O17" s="2"/>
      <c r="P17" s="2"/>
    </row>
    <row r="18" spans="1:16" ht="20.100000000000001" customHeight="1" x14ac:dyDescent="0.25">
      <c r="A18" s="4"/>
      <c r="B18" s="28"/>
      <c r="C18" s="28"/>
      <c r="D18" s="7"/>
      <c r="E18" s="4"/>
      <c r="F18" s="4"/>
      <c r="G18" s="4"/>
      <c r="H18" s="4"/>
      <c r="I18" s="4"/>
      <c r="J18" s="4"/>
      <c r="K18" s="4"/>
      <c r="L18" s="4"/>
      <c r="M18" s="4"/>
      <c r="N18" s="2"/>
      <c r="O18" s="2"/>
      <c r="P18" s="2"/>
    </row>
    <row r="19" spans="1:16" ht="20.100000000000001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2"/>
      <c r="O19" s="2"/>
      <c r="P19" s="2"/>
    </row>
    <row r="20" spans="1:16" ht="20.100000000000001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2"/>
      <c r="O20" s="2"/>
      <c r="P20" s="2"/>
    </row>
    <row r="21" spans="1:16" ht="20.100000000000001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2"/>
      <c r="O21" s="2"/>
      <c r="P21" s="2"/>
    </row>
    <row r="22" spans="1:16" ht="20.100000000000001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2"/>
      <c r="O22" s="2"/>
      <c r="P22" s="2"/>
    </row>
    <row r="23" spans="1:16" ht="20.100000000000001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2"/>
      <c r="O23" s="2"/>
      <c r="P23" s="2"/>
    </row>
    <row r="24" spans="1:16" ht="20.100000000000001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2"/>
      <c r="O24" s="2"/>
      <c r="P24" s="2"/>
    </row>
    <row r="25" spans="1:16" ht="20.100000000000001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2"/>
      <c r="O25" s="2"/>
      <c r="P25" s="2"/>
    </row>
    <row r="26" spans="1:16" ht="20.100000000000001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"/>
      <c r="O26" s="2"/>
      <c r="P26" s="2"/>
    </row>
    <row r="27" spans="1:16" ht="20.100000000000001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2"/>
      <c r="O27" s="2"/>
      <c r="P27" s="2"/>
    </row>
    <row r="28" spans="1:16" ht="20.100000000000001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2"/>
      <c r="O28" s="2"/>
      <c r="P28" s="2"/>
    </row>
    <row r="29" spans="1:16" ht="20.100000000000001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2"/>
      <c r="O29" s="2"/>
      <c r="P29" s="2"/>
    </row>
    <row r="30" spans="1:16" ht="20.100000000000001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2"/>
      <c r="O30" s="2"/>
      <c r="P30" s="2"/>
    </row>
  </sheetData>
  <mergeCells count="3">
    <mergeCell ref="B18:C18"/>
    <mergeCell ref="F16:G16"/>
    <mergeCell ref="G1:M1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view="pageLayout" zoomScaleNormal="100" workbookViewId="0">
      <selection activeCell="F48" sqref="F48"/>
    </sheetView>
  </sheetViews>
  <sheetFormatPr defaultRowHeight="15" x14ac:dyDescent="0.25"/>
  <cols>
    <col min="1" max="1" width="7.7109375" customWidth="1"/>
    <col min="2" max="2" width="16.28515625" customWidth="1"/>
    <col min="3" max="3" width="10.5703125" customWidth="1"/>
    <col min="4" max="4" width="11" customWidth="1"/>
    <col min="5" max="5" width="15.140625" customWidth="1"/>
    <col min="6" max="6" width="11" customWidth="1"/>
    <col min="7" max="7" width="9.7109375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ht="16.5" x14ac:dyDescent="0.25">
      <c r="A2" s="32" t="s">
        <v>29</v>
      </c>
      <c r="B2" s="32"/>
      <c r="C2" s="32"/>
      <c r="D2" s="32"/>
      <c r="E2" s="32"/>
      <c r="F2" s="32"/>
      <c r="G2" s="32"/>
    </row>
    <row r="3" spans="1:7" ht="17.25" x14ac:dyDescent="0.3">
      <c r="B3" s="45" t="s">
        <v>7</v>
      </c>
      <c r="C3" s="45"/>
      <c r="D3" s="45"/>
      <c r="E3" s="45"/>
      <c r="F3" s="45"/>
      <c r="G3" s="45"/>
    </row>
    <row r="5" spans="1:7" x14ac:dyDescent="0.25">
      <c r="A5" s="33" t="s">
        <v>8</v>
      </c>
      <c r="B5" s="33"/>
      <c r="C5" s="33"/>
      <c r="D5" s="33"/>
      <c r="E5" s="14" t="s">
        <v>42</v>
      </c>
      <c r="F5" s="47"/>
      <c r="G5" s="47"/>
    </row>
    <row r="6" spans="1:7" x14ac:dyDescent="0.25">
      <c r="A6" s="34" t="s">
        <v>9</v>
      </c>
      <c r="B6" s="34"/>
      <c r="C6" s="34"/>
      <c r="D6" s="34"/>
      <c r="E6" s="14" t="s">
        <v>11</v>
      </c>
      <c r="F6" s="35"/>
      <c r="G6" s="35"/>
    </row>
    <row r="7" spans="1:7" x14ac:dyDescent="0.25">
      <c r="A7" s="34" t="s">
        <v>10</v>
      </c>
      <c r="B7" s="34"/>
      <c r="C7" s="34"/>
      <c r="D7" s="34"/>
      <c r="E7" s="14" t="s">
        <v>12</v>
      </c>
      <c r="F7" s="35"/>
      <c r="G7" s="35"/>
    </row>
    <row r="8" spans="1:7" x14ac:dyDescent="0.25">
      <c r="A8" s="34" t="s">
        <v>13</v>
      </c>
      <c r="B8" s="34"/>
      <c r="C8" s="34"/>
      <c r="D8" s="34"/>
      <c r="E8" s="10"/>
    </row>
    <row r="9" spans="1:7" x14ac:dyDescent="0.25">
      <c r="B9" s="11"/>
    </row>
    <row r="10" spans="1:7" ht="43.5" x14ac:dyDescent="0.25">
      <c r="A10" s="22" t="s">
        <v>14</v>
      </c>
      <c r="B10" s="22" t="s">
        <v>43</v>
      </c>
      <c r="C10" s="22" t="s">
        <v>15</v>
      </c>
      <c r="D10" s="22" t="s">
        <v>16</v>
      </c>
      <c r="E10" s="22" t="s">
        <v>44</v>
      </c>
      <c r="F10" s="22" t="s">
        <v>15</v>
      </c>
      <c r="G10" s="22" t="s">
        <v>16</v>
      </c>
    </row>
    <row r="11" spans="1:7" x14ac:dyDescent="0.25">
      <c r="A11" s="15">
        <v>1</v>
      </c>
      <c r="B11" s="9"/>
      <c r="C11" s="18" t="s">
        <v>21</v>
      </c>
      <c r="D11" s="18" t="s">
        <v>21</v>
      </c>
      <c r="E11" s="9"/>
      <c r="F11" s="15" t="s">
        <v>22</v>
      </c>
      <c r="G11" s="15" t="s">
        <v>22</v>
      </c>
    </row>
    <row r="12" spans="1:7" x14ac:dyDescent="0.25">
      <c r="A12" s="15">
        <v>2</v>
      </c>
      <c r="B12" s="9"/>
      <c r="C12" s="18" t="s">
        <v>21</v>
      </c>
      <c r="D12" s="18" t="s">
        <v>21</v>
      </c>
      <c r="E12" s="9"/>
      <c r="F12" s="15" t="s">
        <v>22</v>
      </c>
      <c r="G12" s="15" t="s">
        <v>22</v>
      </c>
    </row>
    <row r="13" spans="1:7" x14ac:dyDescent="0.25">
      <c r="A13" s="15">
        <v>3</v>
      </c>
      <c r="B13" s="9"/>
      <c r="C13" s="18" t="s">
        <v>21</v>
      </c>
      <c r="D13" s="18" t="s">
        <v>21</v>
      </c>
      <c r="E13" s="9"/>
      <c r="F13" s="15" t="s">
        <v>22</v>
      </c>
      <c r="G13" s="15" t="s">
        <v>22</v>
      </c>
    </row>
    <row r="14" spans="1:7" x14ac:dyDescent="0.25">
      <c r="A14" s="15">
        <v>4</v>
      </c>
      <c r="B14" s="9"/>
      <c r="C14" s="18" t="s">
        <v>21</v>
      </c>
      <c r="D14" s="18" t="s">
        <v>21</v>
      </c>
      <c r="E14" s="9"/>
      <c r="F14" s="15" t="s">
        <v>22</v>
      </c>
      <c r="G14" s="15" t="s">
        <v>22</v>
      </c>
    </row>
    <row r="15" spans="1:7" x14ac:dyDescent="0.25">
      <c r="A15" s="15">
        <v>5</v>
      </c>
      <c r="B15" s="9"/>
      <c r="C15" s="18" t="s">
        <v>21</v>
      </c>
      <c r="D15" s="18" t="s">
        <v>21</v>
      </c>
      <c r="E15" s="9"/>
      <c r="F15" s="15" t="s">
        <v>22</v>
      </c>
      <c r="G15" s="15" t="s">
        <v>22</v>
      </c>
    </row>
    <row r="16" spans="1:7" x14ac:dyDescent="0.25">
      <c r="A16" s="15">
        <v>6</v>
      </c>
      <c r="B16" s="9"/>
      <c r="C16" s="18" t="s">
        <v>21</v>
      </c>
      <c r="D16" s="18" t="s">
        <v>21</v>
      </c>
      <c r="E16" s="9"/>
      <c r="F16" s="15" t="s">
        <v>22</v>
      </c>
      <c r="G16" s="15" t="s">
        <v>22</v>
      </c>
    </row>
    <row r="17" spans="1:7" x14ac:dyDescent="0.25">
      <c r="A17" s="15">
        <v>7</v>
      </c>
      <c r="B17" s="9"/>
      <c r="C17" s="18" t="s">
        <v>21</v>
      </c>
      <c r="D17" s="18" t="s">
        <v>22</v>
      </c>
      <c r="E17" s="9"/>
      <c r="F17" s="15" t="s">
        <v>22</v>
      </c>
      <c r="G17" s="15" t="s">
        <v>22</v>
      </c>
    </row>
    <row r="18" spans="1:7" x14ac:dyDescent="0.25">
      <c r="A18" s="15">
        <v>8</v>
      </c>
      <c r="B18" s="9"/>
      <c r="C18" s="18" t="s">
        <v>21</v>
      </c>
      <c r="D18" s="18" t="s">
        <v>21</v>
      </c>
      <c r="E18" s="9"/>
      <c r="F18" s="15" t="s">
        <v>22</v>
      </c>
      <c r="G18" s="15" t="s">
        <v>22</v>
      </c>
    </row>
    <row r="19" spans="1:7" x14ac:dyDescent="0.25">
      <c r="A19" s="15">
        <v>9</v>
      </c>
      <c r="B19" s="9"/>
      <c r="C19" s="18" t="s">
        <v>21</v>
      </c>
      <c r="D19" s="18" t="s">
        <v>21</v>
      </c>
      <c r="E19" s="9"/>
      <c r="F19" s="15" t="s">
        <v>22</v>
      </c>
      <c r="G19" s="15" t="s">
        <v>22</v>
      </c>
    </row>
    <row r="20" spans="1:7" x14ac:dyDescent="0.25">
      <c r="A20" s="15">
        <v>10</v>
      </c>
      <c r="B20" s="9"/>
      <c r="C20" s="18" t="s">
        <v>21</v>
      </c>
      <c r="D20" s="18" t="s">
        <v>21</v>
      </c>
      <c r="E20" s="9"/>
      <c r="F20" s="15" t="s">
        <v>22</v>
      </c>
      <c r="G20" s="15" t="s">
        <v>22</v>
      </c>
    </row>
    <row r="21" spans="1:7" x14ac:dyDescent="0.25">
      <c r="A21" s="15">
        <v>11</v>
      </c>
      <c r="B21" s="9"/>
      <c r="C21" s="18" t="s">
        <v>21</v>
      </c>
      <c r="D21" s="18" t="s">
        <v>21</v>
      </c>
      <c r="E21" s="9"/>
      <c r="F21" s="15" t="s">
        <v>22</v>
      </c>
      <c r="G21" s="15" t="s">
        <v>22</v>
      </c>
    </row>
    <row r="22" spans="1:7" x14ac:dyDescent="0.25">
      <c r="A22" s="15">
        <v>12</v>
      </c>
      <c r="B22" s="9"/>
      <c r="C22" s="18" t="s">
        <v>21</v>
      </c>
      <c r="D22" s="18" t="s">
        <v>21</v>
      </c>
      <c r="E22" s="21"/>
      <c r="F22" s="15" t="s">
        <v>22</v>
      </c>
      <c r="G22" s="15" t="s">
        <v>21</v>
      </c>
    </row>
    <row r="23" spans="1:7" x14ac:dyDescent="0.25">
      <c r="A23" s="15">
        <v>13</v>
      </c>
      <c r="B23" s="9"/>
      <c r="C23" s="18" t="s">
        <v>21</v>
      </c>
      <c r="D23" s="18" t="s">
        <v>21</v>
      </c>
      <c r="E23" s="21"/>
      <c r="F23" s="15" t="s">
        <v>22</v>
      </c>
      <c r="G23" s="15" t="s">
        <v>22</v>
      </c>
    </row>
    <row r="24" spans="1:7" x14ac:dyDescent="0.25">
      <c r="A24" s="15">
        <v>14</v>
      </c>
      <c r="B24" s="9"/>
      <c r="C24" s="18" t="s">
        <v>21</v>
      </c>
      <c r="D24" s="18" t="s">
        <v>21</v>
      </c>
      <c r="E24" s="21"/>
      <c r="F24" s="15" t="s">
        <v>22</v>
      </c>
      <c r="G24" s="15" t="s">
        <v>22</v>
      </c>
    </row>
    <row r="25" spans="1:7" x14ac:dyDescent="0.25">
      <c r="A25" s="15">
        <v>15</v>
      </c>
      <c r="B25" s="9"/>
      <c r="C25" s="18" t="s">
        <v>21</v>
      </c>
      <c r="D25" s="18" t="s">
        <v>21</v>
      </c>
      <c r="E25" s="21"/>
      <c r="F25" s="15" t="s">
        <v>22</v>
      </c>
      <c r="G25" s="15" t="s">
        <v>22</v>
      </c>
    </row>
    <row r="26" spans="1:7" x14ac:dyDescent="0.25">
      <c r="A26" s="15">
        <v>16</v>
      </c>
      <c r="B26" s="9"/>
      <c r="C26" s="18" t="s">
        <v>21</v>
      </c>
      <c r="D26" s="18" t="s">
        <v>21</v>
      </c>
      <c r="E26" s="21"/>
      <c r="F26" s="15" t="s">
        <v>22</v>
      </c>
      <c r="G26" s="15" t="s">
        <v>22</v>
      </c>
    </row>
    <row r="27" spans="1:7" x14ac:dyDescent="0.25">
      <c r="A27" s="15">
        <v>17</v>
      </c>
      <c r="B27" s="9"/>
      <c r="C27" s="18" t="s">
        <v>21</v>
      </c>
      <c r="D27" s="18" t="s">
        <v>21</v>
      </c>
      <c r="E27" s="21"/>
      <c r="F27" s="15" t="s">
        <v>22</v>
      </c>
      <c r="G27" s="15" t="s">
        <v>22</v>
      </c>
    </row>
    <row r="28" spans="1:7" x14ac:dyDescent="0.25">
      <c r="A28" s="15">
        <v>18</v>
      </c>
      <c r="B28" s="9"/>
      <c r="C28" s="18" t="s">
        <v>21</v>
      </c>
      <c r="D28" s="18" t="s">
        <v>21</v>
      </c>
      <c r="E28" s="21"/>
      <c r="F28" s="15" t="s">
        <v>22</v>
      </c>
      <c r="G28" s="15" t="s">
        <v>21</v>
      </c>
    </row>
    <row r="29" spans="1:7" x14ac:dyDescent="0.25">
      <c r="A29" s="15">
        <v>19</v>
      </c>
      <c r="B29" s="9"/>
      <c r="C29" s="18" t="s">
        <v>21</v>
      </c>
      <c r="D29" s="18" t="s">
        <v>21</v>
      </c>
      <c r="E29" s="21"/>
      <c r="F29" s="15" t="s">
        <v>22</v>
      </c>
      <c r="G29" s="15" t="s">
        <v>22</v>
      </c>
    </row>
    <row r="30" spans="1:7" x14ac:dyDescent="0.25">
      <c r="A30" s="15">
        <v>20</v>
      </c>
      <c r="B30" s="9"/>
      <c r="C30" s="18" t="s">
        <v>21</v>
      </c>
      <c r="D30" s="18" t="s">
        <v>21</v>
      </c>
      <c r="E30" s="21"/>
      <c r="F30" s="15" t="s">
        <v>22</v>
      </c>
      <c r="G30" s="15" t="s">
        <v>22</v>
      </c>
    </row>
    <row r="31" spans="1:7" x14ac:dyDescent="0.25">
      <c r="A31" s="48" t="s">
        <v>28</v>
      </c>
      <c r="B31" s="49"/>
      <c r="C31" s="50">
        <v>40</v>
      </c>
      <c r="D31" s="51"/>
      <c r="E31" s="51"/>
      <c r="F31" s="51"/>
      <c r="G31" s="52"/>
    </row>
    <row r="32" spans="1:7" x14ac:dyDescent="0.25">
      <c r="A32" s="48" t="s">
        <v>17</v>
      </c>
      <c r="B32" s="49"/>
      <c r="C32" s="50">
        <f>COUNTIF(D11:D30, "Dương tính")</f>
        <v>19</v>
      </c>
      <c r="D32" s="51"/>
      <c r="E32" s="51"/>
      <c r="F32" s="51"/>
      <c r="G32" s="52"/>
    </row>
    <row r="33" spans="1:7" x14ac:dyDescent="0.25">
      <c r="A33" s="48" t="s">
        <v>18</v>
      </c>
      <c r="B33" s="49"/>
      <c r="C33" s="53">
        <f>COUNTIF(G11:G30, "Dương tính")</f>
        <v>2</v>
      </c>
      <c r="D33" s="54"/>
      <c r="E33" s="54"/>
      <c r="F33" s="54"/>
      <c r="G33" s="55"/>
    </row>
    <row r="34" spans="1:7" x14ac:dyDescent="0.25">
      <c r="A34" s="48" t="s">
        <v>19</v>
      </c>
      <c r="B34" s="49"/>
      <c r="C34" s="53">
        <f>COUNTIF(G11:G30, "Âm tính")</f>
        <v>18</v>
      </c>
      <c r="D34" s="54"/>
      <c r="E34" s="54"/>
      <c r="F34" s="54"/>
      <c r="G34" s="55"/>
    </row>
    <row r="35" spans="1:7" x14ac:dyDescent="0.25">
      <c r="A35" s="48" t="s">
        <v>20</v>
      </c>
      <c r="B35" s="49"/>
      <c r="C35" s="50">
        <f>COUNTIF(D11:D30, "Âm tính")</f>
        <v>1</v>
      </c>
      <c r="D35" s="51"/>
      <c r="E35" s="51"/>
      <c r="F35" s="51"/>
      <c r="G35" s="52"/>
    </row>
    <row r="36" spans="1:7" x14ac:dyDescent="0.25">
      <c r="A36" s="36" t="s">
        <v>23</v>
      </c>
      <c r="B36" s="37"/>
      <c r="C36" s="37"/>
      <c r="D36" s="37"/>
      <c r="E36" s="42">
        <f>(C32+C34)/C31*100</f>
        <v>92.5</v>
      </c>
      <c r="F36" s="42"/>
      <c r="G36" s="43"/>
    </row>
    <row r="37" spans="1:7" x14ac:dyDescent="0.25">
      <c r="A37" s="36" t="s">
        <v>24</v>
      </c>
      <c r="B37" s="37"/>
      <c r="C37" s="37"/>
      <c r="D37" s="38"/>
      <c r="E37" s="44">
        <f>C32/(C32+C35)*100</f>
        <v>95</v>
      </c>
      <c r="F37" s="42"/>
      <c r="G37" s="43"/>
    </row>
    <row r="38" spans="1:7" x14ac:dyDescent="0.25">
      <c r="A38" s="36" t="s">
        <v>25</v>
      </c>
      <c r="B38" s="37"/>
      <c r="C38" s="37"/>
      <c r="D38" s="38"/>
      <c r="E38" s="44">
        <f>C34/(C34+C33)*100</f>
        <v>90</v>
      </c>
      <c r="F38" s="42"/>
      <c r="G38" s="43"/>
    </row>
    <row r="39" spans="1:7" x14ac:dyDescent="0.25">
      <c r="A39" s="36" t="s">
        <v>26</v>
      </c>
      <c r="B39" s="37"/>
      <c r="C39" s="37"/>
      <c r="D39" s="38"/>
      <c r="E39" s="44">
        <f>C33/(C33+C32)*100</f>
        <v>9.5238095238095237</v>
      </c>
      <c r="F39" s="42"/>
      <c r="G39" s="43"/>
    </row>
    <row r="40" spans="1:7" x14ac:dyDescent="0.25">
      <c r="A40" s="39" t="s">
        <v>27</v>
      </c>
      <c r="B40" s="40"/>
      <c r="C40" s="40"/>
      <c r="D40" s="41"/>
      <c r="E40" s="44">
        <f>C35/(C35+C34)*100</f>
        <v>5.2631578947368416</v>
      </c>
      <c r="F40" s="42"/>
      <c r="G40" s="43"/>
    </row>
    <row r="41" spans="1:7" x14ac:dyDescent="0.25">
      <c r="B41" s="16"/>
      <c r="C41" s="16"/>
      <c r="D41" s="16"/>
      <c r="E41" s="16"/>
      <c r="F41" s="16"/>
      <c r="G41" s="16"/>
    </row>
    <row r="42" spans="1:7" x14ac:dyDescent="0.25">
      <c r="A42" s="31" t="s">
        <v>4</v>
      </c>
      <c r="B42" s="31"/>
      <c r="C42" s="31"/>
      <c r="D42" s="31"/>
      <c r="E42" s="31"/>
      <c r="F42" s="31"/>
      <c r="G42" s="31"/>
    </row>
    <row r="43" spans="1:7" x14ac:dyDescent="0.25">
      <c r="B43" s="16"/>
      <c r="C43" s="17"/>
      <c r="D43" s="17"/>
      <c r="E43" s="17"/>
      <c r="F43" s="17"/>
      <c r="G43" s="17"/>
    </row>
    <row r="44" spans="1:7" x14ac:dyDescent="0.25">
      <c r="B44" s="16"/>
      <c r="C44" s="16"/>
      <c r="D44" s="16"/>
      <c r="E44" s="16"/>
      <c r="F44" s="16"/>
      <c r="G44" s="16"/>
    </row>
    <row r="45" spans="1:7" x14ac:dyDescent="0.25">
      <c r="B45" s="13" t="s">
        <v>2</v>
      </c>
      <c r="C45" s="10"/>
      <c r="D45" s="10"/>
      <c r="E45" s="10"/>
      <c r="F45" s="10"/>
      <c r="G45" s="10"/>
    </row>
    <row r="46" spans="1:7" x14ac:dyDescent="0.25">
      <c r="B46" s="13"/>
      <c r="C46" s="10"/>
      <c r="D46" s="10"/>
      <c r="E46" s="10"/>
      <c r="F46" s="10"/>
      <c r="G46" s="10"/>
    </row>
    <row r="47" spans="1:7" x14ac:dyDescent="0.25">
      <c r="B47" s="13" t="s">
        <v>3</v>
      </c>
      <c r="C47" s="10"/>
      <c r="D47" s="13"/>
      <c r="E47" s="46" t="s">
        <v>6</v>
      </c>
      <c r="F47" s="46"/>
      <c r="G47" s="46"/>
    </row>
    <row r="48" spans="1:7" x14ac:dyDescent="0.25">
      <c r="A48" s="12"/>
      <c r="B48" s="12"/>
      <c r="C48" s="12"/>
      <c r="D48" s="12"/>
      <c r="E48" s="12"/>
      <c r="F48" s="12"/>
      <c r="G48" s="12"/>
    </row>
  </sheetData>
  <mergeCells count="32">
    <mergeCell ref="B3:G3"/>
    <mergeCell ref="E47:G47"/>
    <mergeCell ref="C42:G42"/>
    <mergeCell ref="F5:G5"/>
    <mergeCell ref="A7:D7"/>
    <mergeCell ref="A32:B32"/>
    <mergeCell ref="A33:B33"/>
    <mergeCell ref="A34:B34"/>
    <mergeCell ref="A35:B35"/>
    <mergeCell ref="E40:G40"/>
    <mergeCell ref="C31:G31"/>
    <mergeCell ref="C32:G32"/>
    <mergeCell ref="C33:G33"/>
    <mergeCell ref="A31:B31"/>
    <mergeCell ref="C34:G34"/>
    <mergeCell ref="C35:G35"/>
    <mergeCell ref="A42:B42"/>
    <mergeCell ref="A2:G2"/>
    <mergeCell ref="A5:D5"/>
    <mergeCell ref="A6:D6"/>
    <mergeCell ref="A8:D8"/>
    <mergeCell ref="F6:G6"/>
    <mergeCell ref="F7:G7"/>
    <mergeCell ref="A36:D36"/>
    <mergeCell ref="A37:D37"/>
    <mergeCell ref="A38:D38"/>
    <mergeCell ref="A39:D39"/>
    <mergeCell ref="A40:D40"/>
    <mergeCell ref="E36:G36"/>
    <mergeCell ref="E37:G37"/>
    <mergeCell ref="E38:G38"/>
    <mergeCell ref="E39:G39"/>
  </mergeCells>
  <pageMargins left="0.7" right="0.7" top="0.75" bottom="0.75" header="0.3" footer="0.3"/>
  <pageSetup paperSize="9" orientation="portrait" r:id="rId1"/>
  <headerFooter>
    <oddHeader>&amp;C&amp;"Times New Roman,Regular"BỆNH VIỆN PHONG-DA LIỄU TW QUY HÒA
&amp;"Times New Roman,Bold"KHOA VI SINH-MIỄN DỊCH</oddHeader>
    <oddFooter>&amp;L&amp;"Times New Roman,Regular"XN-BM 5.8.2/10&amp;C&amp;"Times New Roman,Regular"Lần ban hành: 01.01/01/26&amp;R&amp;"Times New Roman,Regular"Trang: &amp;P/2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view="pageLayout" topLeftCell="H10" zoomScaleNormal="100" workbookViewId="0"/>
  </sheetViews>
  <sheetFormatPr defaultRowHeight="15" x14ac:dyDescent="0.25"/>
  <cols>
    <col min="1" max="1" width="8.7109375" customWidth="1"/>
    <col min="2" max="2" width="19.5703125" customWidth="1"/>
    <col min="3" max="3" width="10.5703125" customWidth="1"/>
    <col min="4" max="4" width="11" customWidth="1"/>
    <col min="5" max="5" width="9.5703125" customWidth="1"/>
    <col min="6" max="6" width="11" customWidth="1"/>
    <col min="7" max="7" width="9.7109375" customWidth="1"/>
  </cols>
  <sheetData>
    <row r="1" spans="1:7" x14ac:dyDescent="0.25">
      <c r="B1" s="8"/>
      <c r="C1" s="8"/>
      <c r="D1" s="8"/>
      <c r="E1" s="8"/>
      <c r="F1" s="8"/>
      <c r="G1" s="8"/>
    </row>
    <row r="2" spans="1:7" ht="16.5" x14ac:dyDescent="0.25">
      <c r="A2" s="32" t="s">
        <v>46</v>
      </c>
      <c r="B2" s="32"/>
      <c r="C2" s="32"/>
      <c r="D2" s="32"/>
      <c r="E2" s="32"/>
      <c r="F2" s="32"/>
      <c r="G2" s="32"/>
    </row>
    <row r="3" spans="1:7" ht="17.25" x14ac:dyDescent="0.3">
      <c r="B3" s="45" t="s">
        <v>7</v>
      </c>
      <c r="C3" s="45"/>
      <c r="D3" s="45"/>
      <c r="E3" s="45"/>
      <c r="F3" s="45"/>
      <c r="G3" s="45"/>
    </row>
    <row r="5" spans="1:7" x14ac:dyDescent="0.25">
      <c r="A5" s="33" t="s">
        <v>8</v>
      </c>
      <c r="B5" s="33"/>
      <c r="C5" s="46"/>
      <c r="D5" s="46"/>
      <c r="E5" s="14" t="s">
        <v>1</v>
      </c>
      <c r="F5" s="47"/>
      <c r="G5" s="47"/>
    </row>
    <row r="6" spans="1:7" x14ac:dyDescent="0.25">
      <c r="A6" s="34" t="s">
        <v>9</v>
      </c>
      <c r="B6" s="34"/>
      <c r="C6" s="65"/>
      <c r="D6" s="65"/>
      <c r="E6" s="14" t="s">
        <v>11</v>
      </c>
      <c r="F6" s="20"/>
      <c r="G6" s="20"/>
    </row>
    <row r="7" spans="1:7" x14ac:dyDescent="0.25">
      <c r="A7" s="34" t="s">
        <v>10</v>
      </c>
      <c r="B7" s="34"/>
      <c r="C7" s="34"/>
      <c r="D7" s="34"/>
      <c r="E7" s="14" t="s">
        <v>12</v>
      </c>
      <c r="F7" s="14"/>
      <c r="G7" s="20"/>
    </row>
    <row r="8" spans="1:7" x14ac:dyDescent="0.25">
      <c r="A8" s="34" t="s">
        <v>13</v>
      </c>
      <c r="B8" s="34"/>
      <c r="C8" s="65" t="s">
        <v>5</v>
      </c>
      <c r="D8" s="65"/>
      <c r="E8" s="10"/>
    </row>
    <row r="9" spans="1:7" x14ac:dyDescent="0.25">
      <c r="B9" s="11"/>
    </row>
    <row r="10" spans="1:7" ht="56.45" customHeight="1" x14ac:dyDescent="0.25">
      <c r="A10" s="59" t="s">
        <v>14</v>
      </c>
      <c r="B10" s="59" t="s">
        <v>30</v>
      </c>
      <c r="C10" s="59" t="s">
        <v>31</v>
      </c>
      <c r="D10" s="59" t="s">
        <v>32</v>
      </c>
      <c r="E10" s="56" t="s">
        <v>41</v>
      </c>
      <c r="F10" s="57"/>
      <c r="G10" s="58"/>
    </row>
    <row r="11" spans="1:7" ht="29.25" x14ac:dyDescent="0.25">
      <c r="A11" s="60"/>
      <c r="B11" s="60"/>
      <c r="C11" s="60"/>
      <c r="D11" s="60"/>
      <c r="E11" s="22" t="s">
        <v>33</v>
      </c>
      <c r="F11" s="22" t="s">
        <v>34</v>
      </c>
      <c r="G11" s="22" t="s">
        <v>35</v>
      </c>
    </row>
    <row r="12" spans="1:7" x14ac:dyDescent="0.25">
      <c r="A12" s="15">
        <v>1</v>
      </c>
      <c r="B12" s="9"/>
      <c r="C12" s="61" t="s">
        <v>45</v>
      </c>
      <c r="D12" s="18" t="s">
        <v>36</v>
      </c>
      <c r="E12" s="18" t="s">
        <v>36</v>
      </c>
      <c r="F12" s="18" t="s">
        <v>37</v>
      </c>
      <c r="G12" s="18" t="s">
        <v>37</v>
      </c>
    </row>
    <row r="13" spans="1:7" x14ac:dyDescent="0.25">
      <c r="A13" s="15">
        <v>2</v>
      </c>
      <c r="B13" s="9"/>
      <c r="C13" s="62"/>
      <c r="D13" s="18" t="s">
        <v>36</v>
      </c>
      <c r="E13" s="18" t="s">
        <v>36</v>
      </c>
      <c r="F13" s="18" t="s">
        <v>37</v>
      </c>
      <c r="G13" s="18" t="s">
        <v>37</v>
      </c>
    </row>
    <row r="14" spans="1:7" x14ac:dyDescent="0.25">
      <c r="A14" s="15">
        <v>3</v>
      </c>
      <c r="B14" s="9"/>
      <c r="C14" s="62"/>
      <c r="D14" s="18" t="s">
        <v>36</v>
      </c>
      <c r="E14" s="18" t="s">
        <v>36</v>
      </c>
      <c r="F14" s="18" t="s">
        <v>36</v>
      </c>
      <c r="G14" s="18" t="s">
        <v>37</v>
      </c>
    </row>
    <row r="15" spans="1:7" x14ac:dyDescent="0.25">
      <c r="A15" s="15">
        <v>4</v>
      </c>
      <c r="B15" s="9"/>
      <c r="C15" s="62"/>
      <c r="D15" s="18" t="s">
        <v>36</v>
      </c>
      <c r="E15" s="18" t="s">
        <v>36</v>
      </c>
      <c r="F15" s="18" t="s">
        <v>37</v>
      </c>
      <c r="G15" s="18" t="s">
        <v>36</v>
      </c>
    </row>
    <row r="16" spans="1:7" x14ac:dyDescent="0.25">
      <c r="A16" s="15">
        <v>5</v>
      </c>
      <c r="B16" s="9"/>
      <c r="C16" s="62"/>
      <c r="D16" s="18" t="s">
        <v>36</v>
      </c>
      <c r="E16" s="18" t="s">
        <v>36</v>
      </c>
      <c r="F16" s="18" t="s">
        <v>36</v>
      </c>
      <c r="G16" s="18" t="s">
        <v>37</v>
      </c>
    </row>
    <row r="17" spans="1:7" x14ac:dyDescent="0.25">
      <c r="A17" s="15">
        <v>6</v>
      </c>
      <c r="B17" s="9"/>
      <c r="C17" s="62"/>
      <c r="D17" s="18" t="s">
        <v>36</v>
      </c>
      <c r="E17" s="18" t="s">
        <v>36</v>
      </c>
      <c r="F17" s="18" t="s">
        <v>36</v>
      </c>
      <c r="G17" s="18" t="s">
        <v>37</v>
      </c>
    </row>
    <row r="18" spans="1:7" x14ac:dyDescent="0.25">
      <c r="A18" s="15">
        <v>7</v>
      </c>
      <c r="B18" s="9"/>
      <c r="C18" s="62"/>
      <c r="D18" s="18" t="s">
        <v>36</v>
      </c>
      <c r="E18" s="18" t="s">
        <v>36</v>
      </c>
      <c r="F18" s="18" t="s">
        <v>36</v>
      </c>
      <c r="G18" s="18" t="s">
        <v>37</v>
      </c>
    </row>
    <row r="19" spans="1:7" x14ac:dyDescent="0.25">
      <c r="A19" s="15">
        <v>8</v>
      </c>
      <c r="B19" s="9"/>
      <c r="C19" s="62"/>
      <c r="D19" s="18" t="s">
        <v>37</v>
      </c>
      <c r="E19" s="18" t="s">
        <v>37</v>
      </c>
      <c r="F19" s="18" t="s">
        <v>37</v>
      </c>
      <c r="G19" s="18" t="s">
        <v>37</v>
      </c>
    </row>
    <row r="20" spans="1:7" x14ac:dyDescent="0.25">
      <c r="A20" s="15">
        <v>9</v>
      </c>
      <c r="B20" s="9"/>
      <c r="C20" s="62"/>
      <c r="D20" s="18" t="s">
        <v>36</v>
      </c>
      <c r="E20" s="18" t="s">
        <v>36</v>
      </c>
      <c r="F20" s="18" t="s">
        <v>36</v>
      </c>
      <c r="G20" s="18" t="s">
        <v>37</v>
      </c>
    </row>
    <row r="21" spans="1:7" x14ac:dyDescent="0.25">
      <c r="A21" s="15">
        <v>10</v>
      </c>
      <c r="B21" s="9"/>
      <c r="C21" s="62"/>
      <c r="D21" s="18" t="s">
        <v>36</v>
      </c>
      <c r="E21" s="18" t="s">
        <v>36</v>
      </c>
      <c r="F21" s="18" t="s">
        <v>36</v>
      </c>
      <c r="G21" s="18" t="s">
        <v>37</v>
      </c>
    </row>
    <row r="22" spans="1:7" x14ac:dyDescent="0.25">
      <c r="A22" s="15">
        <v>11</v>
      </c>
      <c r="B22" s="9"/>
      <c r="C22" s="62"/>
      <c r="D22" s="18" t="s">
        <v>36</v>
      </c>
      <c r="E22" s="18" t="s">
        <v>36</v>
      </c>
      <c r="F22" s="18" t="s">
        <v>36</v>
      </c>
      <c r="G22" s="18" t="s">
        <v>37</v>
      </c>
    </row>
    <row r="23" spans="1:7" x14ac:dyDescent="0.25">
      <c r="A23" s="15">
        <v>12</v>
      </c>
      <c r="B23" s="9"/>
      <c r="C23" s="62"/>
      <c r="D23" s="18" t="s">
        <v>36</v>
      </c>
      <c r="E23" s="18" t="s">
        <v>36</v>
      </c>
      <c r="F23" s="18" t="s">
        <v>37</v>
      </c>
      <c r="G23" s="18" t="s">
        <v>37</v>
      </c>
    </row>
    <row r="24" spans="1:7" x14ac:dyDescent="0.25">
      <c r="A24" s="15">
        <v>13</v>
      </c>
      <c r="B24" s="9"/>
      <c r="C24" s="62"/>
      <c r="D24" s="18" t="s">
        <v>36</v>
      </c>
      <c r="E24" s="18" t="s">
        <v>36</v>
      </c>
      <c r="F24" s="18" t="s">
        <v>36</v>
      </c>
      <c r="G24" s="18" t="s">
        <v>36</v>
      </c>
    </row>
    <row r="25" spans="1:7" x14ac:dyDescent="0.25">
      <c r="A25" s="15">
        <v>14</v>
      </c>
      <c r="B25" s="9"/>
      <c r="C25" s="62"/>
      <c r="D25" s="18" t="s">
        <v>36</v>
      </c>
      <c r="E25" s="18" t="s">
        <v>36</v>
      </c>
      <c r="F25" s="18" t="s">
        <v>36</v>
      </c>
      <c r="G25" s="18" t="s">
        <v>37</v>
      </c>
    </row>
    <row r="26" spans="1:7" x14ac:dyDescent="0.25">
      <c r="A26" s="15">
        <v>15</v>
      </c>
      <c r="B26" s="9"/>
      <c r="C26" s="62"/>
      <c r="D26" s="18" t="s">
        <v>36</v>
      </c>
      <c r="E26" s="18" t="s">
        <v>36</v>
      </c>
      <c r="F26" s="18" t="s">
        <v>36</v>
      </c>
      <c r="G26" s="18" t="s">
        <v>37</v>
      </c>
    </row>
    <row r="27" spans="1:7" x14ac:dyDescent="0.25">
      <c r="A27" s="15">
        <v>16</v>
      </c>
      <c r="B27" s="9"/>
      <c r="C27" s="62"/>
      <c r="D27" s="18" t="s">
        <v>36</v>
      </c>
      <c r="E27" s="18" t="s">
        <v>36</v>
      </c>
      <c r="F27" s="18" t="s">
        <v>36</v>
      </c>
      <c r="G27" s="18" t="s">
        <v>37</v>
      </c>
    </row>
    <row r="28" spans="1:7" x14ac:dyDescent="0.25">
      <c r="A28" s="15">
        <v>17</v>
      </c>
      <c r="B28" s="9"/>
      <c r="C28" s="62"/>
      <c r="D28" s="18" t="s">
        <v>36</v>
      </c>
      <c r="E28" s="18" t="s">
        <v>37</v>
      </c>
      <c r="F28" s="18" t="s">
        <v>36</v>
      </c>
      <c r="G28" s="18" t="s">
        <v>37</v>
      </c>
    </row>
    <row r="29" spans="1:7" x14ac:dyDescent="0.25">
      <c r="A29" s="15">
        <v>18</v>
      </c>
      <c r="B29" s="9"/>
      <c r="C29" s="62"/>
      <c r="D29" s="18" t="s">
        <v>36</v>
      </c>
      <c r="E29" s="18" t="s">
        <v>36</v>
      </c>
      <c r="F29" s="18" t="s">
        <v>36</v>
      </c>
      <c r="G29" s="18" t="s">
        <v>37</v>
      </c>
    </row>
    <row r="30" spans="1:7" x14ac:dyDescent="0.25">
      <c r="A30" s="15">
        <v>19</v>
      </c>
      <c r="B30" s="9"/>
      <c r="C30" s="62"/>
      <c r="D30" s="18" t="s">
        <v>36</v>
      </c>
      <c r="E30" s="18" t="s">
        <v>36</v>
      </c>
      <c r="F30" s="18" t="s">
        <v>36</v>
      </c>
      <c r="G30" s="18" t="s">
        <v>37</v>
      </c>
    </row>
    <row r="31" spans="1:7" x14ac:dyDescent="0.25">
      <c r="A31" s="15">
        <v>20</v>
      </c>
      <c r="B31" s="9"/>
      <c r="C31" s="62"/>
      <c r="D31" s="18" t="s">
        <v>36</v>
      </c>
      <c r="E31" s="18" t="s">
        <v>36</v>
      </c>
      <c r="F31" s="18" t="s">
        <v>36</v>
      </c>
      <c r="G31" s="18" t="s">
        <v>37</v>
      </c>
    </row>
    <row r="32" spans="1:7" x14ac:dyDescent="0.25">
      <c r="A32" s="36" t="s">
        <v>38</v>
      </c>
      <c r="B32" s="38"/>
      <c r="C32" s="63"/>
      <c r="D32" s="23">
        <v>20</v>
      </c>
      <c r="E32" s="23">
        <v>20</v>
      </c>
      <c r="F32" s="23">
        <v>20</v>
      </c>
      <c r="G32" s="23">
        <v>20</v>
      </c>
    </row>
    <row r="33" spans="1:7" x14ac:dyDescent="0.25">
      <c r="A33" s="48" t="s">
        <v>40</v>
      </c>
      <c r="B33" s="64"/>
      <c r="C33" s="49"/>
      <c r="D33" s="25">
        <f>COUNTIF(D12:D31,"+")</f>
        <v>19</v>
      </c>
      <c r="E33" s="25">
        <f t="shared" ref="E33:G33" si="0">COUNTIF(E12:E31,"+")</f>
        <v>18</v>
      </c>
      <c r="F33" s="25">
        <f t="shared" si="0"/>
        <v>15</v>
      </c>
      <c r="G33" s="25">
        <f t="shared" si="0"/>
        <v>2</v>
      </c>
    </row>
    <row r="34" spans="1:7" x14ac:dyDescent="0.25">
      <c r="A34" s="48" t="s">
        <v>39</v>
      </c>
      <c r="B34" s="64"/>
      <c r="C34" s="64"/>
      <c r="D34" s="24">
        <f>D33/D32*100</f>
        <v>95</v>
      </c>
      <c r="E34" s="24">
        <f t="shared" ref="E34:F34" si="1">E33/E32*100</f>
        <v>90</v>
      </c>
      <c r="F34" s="24">
        <f t="shared" si="1"/>
        <v>75</v>
      </c>
      <c r="G34" s="24">
        <f>G33/G32*100</f>
        <v>10</v>
      </c>
    </row>
    <row r="35" spans="1:7" x14ac:dyDescent="0.25">
      <c r="A35" s="36" t="s">
        <v>0</v>
      </c>
      <c r="B35" s="37"/>
      <c r="C35" s="37"/>
      <c r="D35" s="26" t="str">
        <f>IF(D34&gt;=90,"Đạt","Không đạt")</f>
        <v>Đạt</v>
      </c>
      <c r="E35" s="26" t="str">
        <f t="shared" ref="E35:G35" si="2">IF(E34&gt;=90,"Đạt","Không đạt")</f>
        <v>Đạt</v>
      </c>
      <c r="F35" s="26" t="str">
        <f t="shared" si="2"/>
        <v>Không đạt</v>
      </c>
      <c r="G35" s="26" t="str">
        <f t="shared" si="2"/>
        <v>Không đạt</v>
      </c>
    </row>
    <row r="36" spans="1:7" x14ac:dyDescent="0.25">
      <c r="A36" s="19"/>
      <c r="B36" s="19"/>
      <c r="C36" s="27"/>
      <c r="D36" s="27"/>
      <c r="E36" s="27"/>
      <c r="F36" s="27"/>
      <c r="G36" s="27"/>
    </row>
    <row r="37" spans="1:7" x14ac:dyDescent="0.25">
      <c r="A37" s="19"/>
      <c r="B37" s="19"/>
      <c r="C37" s="27"/>
      <c r="D37" s="27"/>
      <c r="E37" s="27"/>
      <c r="F37" s="27"/>
      <c r="G37" s="27"/>
    </row>
    <row r="38" spans="1:7" x14ac:dyDescent="0.25">
      <c r="A38" s="19"/>
      <c r="B38" s="19"/>
      <c r="C38" s="27"/>
      <c r="D38" s="27"/>
      <c r="E38" s="27"/>
      <c r="F38" s="27"/>
      <c r="G38" s="27"/>
    </row>
    <row r="39" spans="1:7" x14ac:dyDescent="0.25">
      <c r="B39" s="16"/>
      <c r="C39" s="16"/>
      <c r="D39" s="16"/>
      <c r="E39" s="16"/>
      <c r="F39" s="16"/>
      <c r="G39" s="16"/>
    </row>
    <row r="40" spans="1:7" x14ac:dyDescent="0.25">
      <c r="A40" s="31" t="s">
        <v>4</v>
      </c>
      <c r="B40" s="31"/>
      <c r="C40" s="31"/>
      <c r="D40" s="31"/>
      <c r="E40" s="31"/>
      <c r="F40" s="31"/>
      <c r="G40" s="31"/>
    </row>
    <row r="41" spans="1:7" x14ac:dyDescent="0.25">
      <c r="B41" s="16"/>
      <c r="C41" s="17"/>
      <c r="D41" s="17"/>
      <c r="E41" s="17"/>
      <c r="F41" s="17"/>
      <c r="G41" s="17"/>
    </row>
    <row r="42" spans="1:7" x14ac:dyDescent="0.25">
      <c r="B42" s="16"/>
      <c r="C42" s="16"/>
      <c r="D42" s="16"/>
      <c r="E42" s="16"/>
      <c r="F42" s="16"/>
      <c r="G42" s="16"/>
    </row>
    <row r="43" spans="1:7" x14ac:dyDescent="0.25">
      <c r="B43" s="13" t="s">
        <v>2</v>
      </c>
      <c r="C43" s="10"/>
      <c r="D43" s="10"/>
      <c r="E43" s="10"/>
      <c r="F43" s="10"/>
      <c r="G43" s="10"/>
    </row>
    <row r="44" spans="1:7" x14ac:dyDescent="0.25">
      <c r="B44" s="13"/>
      <c r="C44" s="10"/>
      <c r="D44" s="10"/>
      <c r="E44" s="10"/>
      <c r="F44" s="10"/>
      <c r="G44" s="10"/>
    </row>
    <row r="45" spans="1:7" x14ac:dyDescent="0.25">
      <c r="B45" s="13" t="s">
        <v>3</v>
      </c>
      <c r="C45" s="10"/>
      <c r="D45" s="13"/>
      <c r="E45" s="46" t="s">
        <v>6</v>
      </c>
      <c r="F45" s="46"/>
      <c r="G45" s="46"/>
    </row>
    <row r="46" spans="1:7" x14ac:dyDescent="0.25">
      <c r="B46" s="13"/>
      <c r="C46" s="10"/>
      <c r="D46" s="13"/>
      <c r="E46" s="19"/>
      <c r="F46" s="19"/>
      <c r="G46" s="19"/>
    </row>
    <row r="47" spans="1:7" x14ac:dyDescent="0.25">
      <c r="A47" s="12"/>
      <c r="B47" s="12"/>
      <c r="C47" s="12"/>
      <c r="D47" s="12"/>
      <c r="E47" s="12"/>
      <c r="F47" s="12"/>
      <c r="G47" s="12"/>
    </row>
  </sheetData>
  <mergeCells count="23">
    <mergeCell ref="A7:D7"/>
    <mergeCell ref="A8:B8"/>
    <mergeCell ref="C8:D8"/>
    <mergeCell ref="A32:B32"/>
    <mergeCell ref="A2:G2"/>
    <mergeCell ref="B3:G3"/>
    <mergeCell ref="A5:B5"/>
    <mergeCell ref="C5:D5"/>
    <mergeCell ref="F5:G5"/>
    <mergeCell ref="A6:B6"/>
    <mergeCell ref="C6:D6"/>
    <mergeCell ref="E45:G45"/>
    <mergeCell ref="E10:G10"/>
    <mergeCell ref="A10:A11"/>
    <mergeCell ref="B10:B11"/>
    <mergeCell ref="C10:C11"/>
    <mergeCell ref="D10:D11"/>
    <mergeCell ref="C12:C32"/>
    <mergeCell ref="A33:C33"/>
    <mergeCell ref="A34:C34"/>
    <mergeCell ref="A40:B40"/>
    <mergeCell ref="C40:G40"/>
    <mergeCell ref="A35:C35"/>
  </mergeCells>
  <pageMargins left="0.7" right="0.7" top="0.75" bottom="0.75" header="0.3" footer="0.3"/>
  <pageSetup paperSize="9" orientation="portrait" r:id="rId1"/>
  <headerFooter>
    <oddHeader>&amp;C&amp;"Times New Roman,Regular"BỆNH VIỆN
&amp;"Times New Roman,Bold"KHOA XÉT NGHIỆM</oddHeader>
    <oddFooter>&amp;L&amp;"Times New Roman,Regular"XN-BM 5.8.2/11&amp;C&amp;"Times New Roman,Regular"Lần ban hành: 01.11/10/21&amp;R&amp;"Times New Roman,Regular"Trang: &amp;P/2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1.1.HBsAg</vt:lpstr>
      <vt:lpstr>1.2.HBsAg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81</dc:creator>
  <cp:lastModifiedBy>VSMD</cp:lastModifiedBy>
  <cp:lastPrinted>2021-11-22T16:26:49Z</cp:lastPrinted>
  <dcterms:created xsi:type="dcterms:W3CDTF">2017-08-11T16:45:32Z</dcterms:created>
  <dcterms:modified xsi:type="dcterms:W3CDTF">2025-12-24T04:12:20Z</dcterms:modified>
</cp:coreProperties>
</file>